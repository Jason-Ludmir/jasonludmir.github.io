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Read me" sheetId="1" state="visible" r:id="rId3"/>
    <sheet name="Summary" sheetId="2" state="visible" r:id="rId4"/>
    <sheet name="Dictionary" sheetId="3" state="visible" r:id="rId5"/>
    <sheet name="Data 1" sheetId="4" state="visible" r:id="rId6"/>
  </sheets>
  <definedNames>
    <definedName function="false" hidden="false" localSheetId="3" name="_xlnm.Print_Area" vbProcedure="false">'Data 1'!$A$1:$J$31</definedName>
    <definedName function="false" hidden="false" localSheetId="3" name="_xlnm.Print_Titles" vbProcedure="false">'Data 1'!$1:$1</definedName>
    <definedName function="false" hidden="true" localSheetId="3" name="_xlnm._FilterDatabase" vbProcedure="false">'Data 1'!$A$1:$J$157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<sst xmlns="http://schemas.openxmlformats.org/spreadsheetml/2006/main" count="602" uniqueCount="254">
  <si>
    <t xml:space="preserve">Facility Monthly Activity, July 2024–August 2026</t>
  </si>
  <si>
    <t xml:space="preserve">Tallowbrook Health</t>
  </si>
  <si>
    <t xml:space="preserve">Effective date</t>
  </si>
  <si>
    <t xml:space="preserve">2026-09-05</t>
  </si>
  <si>
    <t xml:space="preserve">Purpose</t>
  </si>
  <si>
    <t xml:space="preserve">Provide monthly admissions, patient days, ED visits, surgical cases, births, imaging and outpatient visits by facility.</t>
  </si>
  <si>
    <t xml:space="preserve">Coverage</t>
  </si>
  <si>
    <t xml:space="preserve">See each dataset dictionary and summary. Missing numeric values are excluded, not zero.</t>
  </si>
  <si>
    <t xml:space="preserve">Summary interpretation</t>
  </si>
  <si>
    <t xml:space="preserve">Descriptive statistics of selected records only. Totals of percentages and adjustment values are not operating KPIs.</t>
  </si>
  <si>
    <t xml:space="preserve">Introduction</t>
  </si>
  <si>
    <t xml:space="preserve">Monthly activity for all six Tallowbrook facilities from July 2024 through August 2026 (FY2025, FY2026 and the first two months of FY2027). Prepared by Decision Support. Extracted September 5, 2026.</t>
  </si>
  <si>
    <t xml:space="preserve">Contents</t>
  </si>
  <si>
    <t xml:space="preserve">One row per facility per month (6 facilities x 26 months). Fiscal years run July 1 to June 30.</t>
  </si>
  <si>
    <t xml:space="preserve">Coverage and definitions</t>
  </si>
  <si>
    <t xml:space="preserve">Inpatient admissions exclude observation stays; patient days are inpatient days at midnight census.</t>
  </si>
  <si>
    <t xml:space="preserve">Surgical cases count hospital inpatient and outpatient cases and, for the Surgery Center Grand Parkway, cases reported in the ASC practice-management system.</t>
  </si>
  <si>
    <t xml:space="preserve">Imaging exams are counted at completion. Outpatient visits cover clinic, infusion, therapy and lab draw visits and exclude ED visits and imaging exams.</t>
  </si>
  <si>
    <t xml:space="preserve">Facilities without a service report zero for that measure (for example, births outside Medical Center West).</t>
  </si>
  <si>
    <t xml:space="preserve">Known differences from other reports</t>
  </si>
  <si>
    <t xml:space="preserve">Patient days here are lower than census-days in the unit census extract, which includes observation patients in inpatient beds. The difference has run about 6% to 9% each month in 2026.</t>
  </si>
  <si>
    <t xml:space="preserve">July 2024 outpatient volumes at the Pavilion, Stafford and Mission Bend were reduced by storm-related closures.</t>
  </si>
  <si>
    <t xml:space="preserve">Staffed bed counts used for occupancy are 192 at Medical Center West and 96 at Hospital Fort Bend.</t>
  </si>
  <si>
    <t xml:space="preserve">Dataset</t>
  </si>
  <si>
    <t xml:space="preserve">Measure</t>
  </si>
  <si>
    <t xml:space="preserve">Unit</t>
  </si>
  <si>
    <t xml:space="preserve">Total</t>
  </si>
  <si>
    <t xml:space="preserve">Mean</t>
  </si>
  <si>
    <t xml:space="preserve">Records</t>
  </si>
  <si>
    <t xml:space="preserve">Period start</t>
  </si>
  <si>
    <t xml:space="preserve">Period end</t>
  </si>
  <si>
    <t xml:space="preserve">Facility Monthly Activity</t>
  </si>
  <si>
    <t xml:space="preserve">inpatient_admissions</t>
  </si>
  <si>
    <t xml:space="preserve">admissions</t>
  </si>
  <si>
    <t xml:space="preserve">2024-07-01</t>
  </si>
  <si>
    <t xml:space="preserve">2026-08-31</t>
  </si>
  <si>
    <t xml:space="preserve">patient_days</t>
  </si>
  <si>
    <t xml:space="preserve">days</t>
  </si>
  <si>
    <t xml:space="preserve">ed_visits</t>
  </si>
  <si>
    <t xml:space="preserve">visits</t>
  </si>
  <si>
    <t xml:space="preserve">surgical_cases</t>
  </si>
  <si>
    <t xml:space="preserve">cases</t>
  </si>
  <si>
    <t xml:space="preserve">births</t>
  </si>
  <si>
    <t xml:space="preserve">imaging_exams</t>
  </si>
  <si>
    <t xml:space="preserve">exams</t>
  </si>
  <si>
    <t xml:space="preserve">outpatient_visits</t>
  </si>
  <si>
    <t xml:space="preserve">Field</t>
  </si>
  <si>
    <t xml:space="preserve">Definition</t>
  </si>
  <si>
    <t xml:space="preserve">Type</t>
  </si>
  <si>
    <t xml:space="preserve">Reference</t>
  </si>
  <si>
    <t xml:space="preserve">record_id</t>
  </si>
  <si>
    <t xml:space="preserve">Row identifier</t>
  </si>
  <si>
    <t xml:space="preserve">id</t>
  </si>
  <si>
    <t xml:space="preserve">facility</t>
  </si>
  <si>
    <t xml:space="preserve">Facility name</t>
  </si>
  <si>
    <t xml:space="preserve">category</t>
  </si>
  <si>
    <t xml:space="preserve">month_start</t>
  </si>
  <si>
    <t xml:space="preserve">First day of the reporting month</t>
  </si>
  <si>
    <t xml:space="preserve">date</t>
  </si>
  <si>
    <t xml:space="preserve">Inpatient admissions (excludes observation)</t>
  </si>
  <si>
    <t xml:space="preserve">integer</t>
  </si>
  <si>
    <t xml:space="preserve">Inpatient days at midnight census</t>
  </si>
  <si>
    <t xml:space="preserve">Emergency department visits</t>
  </si>
  <si>
    <t xml:space="preserve">Surgical cases (inpatient, hospital outpatient or ASC)</t>
  </si>
  <si>
    <t xml:space="preserve">Live births</t>
  </si>
  <si>
    <t xml:space="preserve">Imaging exams performed</t>
  </si>
  <si>
    <t xml:space="preserve">Other outpatient visits (clinic, infusion, therapy, lab draw)</t>
  </si>
  <si>
    <t xml:space="preserve">facility_month-000001</t>
  </si>
  <si>
    <t xml:space="preserve">Medical Center West</t>
  </si>
  <si>
    <t xml:space="preserve">facility_month-000002</t>
  </si>
  <si>
    <t xml:space="preserve">2024-08-01</t>
  </si>
  <si>
    <t xml:space="preserve">facility_month-000003</t>
  </si>
  <si>
    <t xml:space="preserve">2024-09-01</t>
  </si>
  <si>
    <t xml:space="preserve">facility_month-000004</t>
  </si>
  <si>
    <t xml:space="preserve">2024-10-01</t>
  </si>
  <si>
    <t xml:space="preserve">facility_month-000005</t>
  </si>
  <si>
    <t xml:space="preserve">2024-11-01</t>
  </si>
  <si>
    <t xml:space="preserve">facility_month-000006</t>
  </si>
  <si>
    <t xml:space="preserve">2024-12-01</t>
  </si>
  <si>
    <t xml:space="preserve">facility_month-000007</t>
  </si>
  <si>
    <t xml:space="preserve">2025-01-01</t>
  </si>
  <si>
    <t xml:space="preserve">facility_month-000008</t>
  </si>
  <si>
    <t xml:space="preserve">2025-02-01</t>
  </si>
  <si>
    <t xml:space="preserve">facility_month-000009</t>
  </si>
  <si>
    <t xml:space="preserve">2025-03-01</t>
  </si>
  <si>
    <t xml:space="preserve">facility_month-000010</t>
  </si>
  <si>
    <t xml:space="preserve">2025-04-01</t>
  </si>
  <si>
    <t xml:space="preserve">facility_month-000011</t>
  </si>
  <si>
    <t xml:space="preserve">2025-05-01</t>
  </si>
  <si>
    <t xml:space="preserve">facility_month-000012</t>
  </si>
  <si>
    <t xml:space="preserve">2025-06-01</t>
  </si>
  <si>
    <t xml:space="preserve">facility_month-000013</t>
  </si>
  <si>
    <t xml:space="preserve">2025-07-01</t>
  </si>
  <si>
    <t xml:space="preserve">facility_month-000014</t>
  </si>
  <si>
    <t xml:space="preserve">2025-08-01</t>
  </si>
  <si>
    <t xml:space="preserve">facility_month-000015</t>
  </si>
  <si>
    <t xml:space="preserve">2025-09-01</t>
  </si>
  <si>
    <t xml:space="preserve">facility_month-000016</t>
  </si>
  <si>
    <t xml:space="preserve">2025-10-01</t>
  </si>
  <si>
    <t xml:space="preserve">facility_month-000017</t>
  </si>
  <si>
    <t xml:space="preserve">2025-11-01</t>
  </si>
  <si>
    <t xml:space="preserve">facility_month-000018</t>
  </si>
  <si>
    <t xml:space="preserve">2025-12-01</t>
  </si>
  <si>
    <t xml:space="preserve">facility_month-000019</t>
  </si>
  <si>
    <t xml:space="preserve">2026-01-01</t>
  </si>
  <si>
    <t xml:space="preserve">facility_month-000020</t>
  </si>
  <si>
    <t xml:space="preserve">2026-02-01</t>
  </si>
  <si>
    <t xml:space="preserve">facility_month-000021</t>
  </si>
  <si>
    <t xml:space="preserve">2026-03-01</t>
  </si>
  <si>
    <t xml:space="preserve">facility_month-000022</t>
  </si>
  <si>
    <t xml:space="preserve">2026-04-01</t>
  </si>
  <si>
    <t xml:space="preserve">facility_month-000023</t>
  </si>
  <si>
    <t xml:space="preserve">2026-05-01</t>
  </si>
  <si>
    <t xml:space="preserve">facility_month-000024</t>
  </si>
  <si>
    <t xml:space="preserve">2026-06-01</t>
  </si>
  <si>
    <t xml:space="preserve">facility_month-000025</t>
  </si>
  <si>
    <t xml:space="preserve">2026-07-01</t>
  </si>
  <si>
    <t xml:space="preserve">facility_month-000026</t>
  </si>
  <si>
    <t xml:space="preserve">2026-08-01</t>
  </si>
  <si>
    <t xml:space="preserve">facility_month-000027</t>
  </si>
  <si>
    <t xml:space="preserve">Hospital Fort Bend</t>
  </si>
  <si>
    <t xml:space="preserve">facility_month-000028</t>
  </si>
  <si>
    <t xml:space="preserve">facility_month-000029</t>
  </si>
  <si>
    <t xml:space="preserve">facility_month-000030</t>
  </si>
  <si>
    <t xml:space="preserve">facility_month-000031</t>
  </si>
  <si>
    <t xml:space="preserve">facility_month-000032</t>
  </si>
  <si>
    <t xml:space="preserve">facility_month-000033</t>
  </si>
  <si>
    <t xml:space="preserve">facility_month-000034</t>
  </si>
  <si>
    <t xml:space="preserve">facility_month-000035</t>
  </si>
  <si>
    <t xml:space="preserve">facility_month-000036</t>
  </si>
  <si>
    <t xml:space="preserve">facility_month-000037</t>
  </si>
  <si>
    <t xml:space="preserve">facility_month-000038</t>
  </si>
  <si>
    <t xml:space="preserve">facility_month-000039</t>
  </si>
  <si>
    <t xml:space="preserve">facility_month-000040</t>
  </si>
  <si>
    <t xml:space="preserve">facility_month-000041</t>
  </si>
  <si>
    <t xml:space="preserve">facility_month-000042</t>
  </si>
  <si>
    <t xml:space="preserve">facility_month-000043</t>
  </si>
  <si>
    <t xml:space="preserve">facility_month-000044</t>
  </si>
  <si>
    <t xml:space="preserve">facility_month-000045</t>
  </si>
  <si>
    <t xml:space="preserve">facility_month-000046</t>
  </si>
  <si>
    <t xml:space="preserve">facility_month-000047</t>
  </si>
  <si>
    <t xml:space="preserve">facility_month-000048</t>
  </si>
  <si>
    <t xml:space="preserve">facility_month-000049</t>
  </si>
  <si>
    <t xml:space="preserve">facility_month-000050</t>
  </si>
  <si>
    <t xml:space="preserve">facility_month-000051</t>
  </si>
  <si>
    <t xml:space="preserve">facility_month-000052</t>
  </si>
  <si>
    <t xml:space="preserve">facility_month-000053</t>
  </si>
  <si>
    <t xml:space="preserve">Outpatient Pavilion West</t>
  </si>
  <si>
    <t xml:space="preserve">facility_month-000054</t>
  </si>
  <si>
    <t xml:space="preserve">facility_month-000055</t>
  </si>
  <si>
    <t xml:space="preserve">facility_month-000056</t>
  </si>
  <si>
    <t xml:space="preserve">facility_month-000057</t>
  </si>
  <si>
    <t xml:space="preserve">facility_month-000058</t>
  </si>
  <si>
    <t xml:space="preserve">facility_month-000059</t>
  </si>
  <si>
    <t xml:space="preserve">facility_month-000060</t>
  </si>
  <si>
    <t xml:space="preserve">facility_month-000061</t>
  </si>
  <si>
    <t xml:space="preserve">facility_month-000062</t>
  </si>
  <si>
    <t xml:space="preserve">facility_month-000063</t>
  </si>
  <si>
    <t xml:space="preserve">facility_month-000064</t>
  </si>
  <si>
    <t xml:space="preserve">facility_month-000065</t>
  </si>
  <si>
    <t xml:space="preserve">facility_month-000066</t>
  </si>
  <si>
    <t xml:space="preserve">facility_month-000067</t>
  </si>
  <si>
    <t xml:space="preserve">facility_month-000068</t>
  </si>
  <si>
    <t xml:space="preserve">facility_month-000069</t>
  </si>
  <si>
    <t xml:space="preserve">facility_month-000070</t>
  </si>
  <si>
    <t xml:space="preserve">facility_month-000071</t>
  </si>
  <si>
    <t xml:space="preserve">facility_month-000072</t>
  </si>
  <si>
    <t xml:space="preserve">facility_month-000073</t>
  </si>
  <si>
    <t xml:space="preserve">facility_month-000074</t>
  </si>
  <si>
    <t xml:space="preserve">facility_month-000075</t>
  </si>
  <si>
    <t xml:space="preserve">facility_month-000076</t>
  </si>
  <si>
    <t xml:space="preserve">facility_month-000077</t>
  </si>
  <si>
    <t xml:space="preserve">facility_month-000078</t>
  </si>
  <si>
    <t xml:space="preserve">facility_month-000079</t>
  </si>
  <si>
    <t xml:space="preserve">Surgery Center Grand Parkway</t>
  </si>
  <si>
    <t xml:space="preserve">facility_month-000080</t>
  </si>
  <si>
    <t xml:space="preserve">facility_month-000081</t>
  </si>
  <si>
    <t xml:space="preserve">facility_month-000082</t>
  </si>
  <si>
    <t xml:space="preserve">facility_month-000083</t>
  </si>
  <si>
    <t xml:space="preserve">facility_month-000084</t>
  </si>
  <si>
    <t xml:space="preserve">facility_month-000085</t>
  </si>
  <si>
    <t xml:space="preserve">facility_month-000086</t>
  </si>
  <si>
    <t xml:space="preserve">facility_month-000087</t>
  </si>
  <si>
    <t xml:space="preserve">facility_month-000088</t>
  </si>
  <si>
    <t xml:space="preserve">facility_month-000089</t>
  </si>
  <si>
    <t xml:space="preserve">facility_month-000090</t>
  </si>
  <si>
    <t xml:space="preserve">facility_month-000091</t>
  </si>
  <si>
    <t xml:space="preserve">facility_month-000092</t>
  </si>
  <si>
    <t xml:space="preserve">facility_month-000093</t>
  </si>
  <si>
    <t xml:space="preserve">facility_month-000094</t>
  </si>
  <si>
    <t xml:space="preserve">facility_month-000095</t>
  </si>
  <si>
    <t xml:space="preserve">facility_month-000096</t>
  </si>
  <si>
    <t xml:space="preserve">facility_month-000097</t>
  </si>
  <si>
    <t xml:space="preserve">facility_month-000098</t>
  </si>
  <si>
    <t xml:space="preserve">facility_month-000099</t>
  </si>
  <si>
    <t xml:space="preserve">facility_month-000100</t>
  </si>
  <si>
    <t xml:space="preserve">facility_month-000101</t>
  </si>
  <si>
    <t xml:space="preserve">facility_month-000102</t>
  </si>
  <si>
    <t xml:space="preserve">facility_month-000103</t>
  </si>
  <si>
    <t xml:space="preserve">facility_month-000104</t>
  </si>
  <si>
    <t xml:space="preserve">facility_month-000105</t>
  </si>
  <si>
    <t xml:space="preserve">Imaging &amp; Therapy Stafford</t>
  </si>
  <si>
    <t xml:space="preserve">facility_month-000106</t>
  </si>
  <si>
    <t xml:space="preserve">facility_month-000107</t>
  </si>
  <si>
    <t xml:space="preserve">facility_month-000108</t>
  </si>
  <si>
    <t xml:space="preserve">facility_month-000109</t>
  </si>
  <si>
    <t xml:space="preserve">facility_month-000110</t>
  </si>
  <si>
    <t xml:space="preserve">facility_month-000111</t>
  </si>
  <si>
    <t xml:space="preserve">facility_month-000112</t>
  </si>
  <si>
    <t xml:space="preserve">facility_month-000113</t>
  </si>
  <si>
    <t xml:space="preserve">facility_month-000114</t>
  </si>
  <si>
    <t xml:space="preserve">facility_month-000115</t>
  </si>
  <si>
    <t xml:space="preserve">facility_month-000116</t>
  </si>
  <si>
    <t xml:space="preserve">facility_month-000117</t>
  </si>
  <si>
    <t xml:space="preserve">facility_month-000118</t>
  </si>
  <si>
    <t xml:space="preserve">facility_month-000119</t>
  </si>
  <si>
    <t xml:space="preserve">facility_month-000120</t>
  </si>
  <si>
    <t xml:space="preserve">facility_month-000121</t>
  </si>
  <si>
    <t xml:space="preserve">facility_month-000122</t>
  </si>
  <si>
    <t xml:space="preserve">facility_month-000123</t>
  </si>
  <si>
    <t xml:space="preserve">facility_month-000124</t>
  </si>
  <si>
    <t xml:space="preserve">facility_month-000125</t>
  </si>
  <si>
    <t xml:space="preserve">facility_month-000126</t>
  </si>
  <si>
    <t xml:space="preserve">facility_month-000127</t>
  </si>
  <si>
    <t xml:space="preserve">facility_month-000128</t>
  </si>
  <si>
    <t xml:space="preserve">facility_month-000129</t>
  </si>
  <si>
    <t xml:space="preserve">facility_month-000130</t>
  </si>
  <si>
    <t xml:space="preserve">facility_month-000131</t>
  </si>
  <si>
    <t xml:space="preserve">Urgent &amp; Family Care Mission Bend</t>
  </si>
  <si>
    <t xml:space="preserve">facility_month-000132</t>
  </si>
  <si>
    <t xml:space="preserve">facility_month-000133</t>
  </si>
  <si>
    <t xml:space="preserve">facility_month-000134</t>
  </si>
  <si>
    <t xml:space="preserve">facility_month-000135</t>
  </si>
  <si>
    <t xml:space="preserve">facility_month-000136</t>
  </si>
  <si>
    <t xml:space="preserve">facility_month-000137</t>
  </si>
  <si>
    <t xml:space="preserve">facility_month-000138</t>
  </si>
  <si>
    <t xml:space="preserve">facility_month-000139</t>
  </si>
  <si>
    <t xml:space="preserve">facility_month-000140</t>
  </si>
  <si>
    <t xml:space="preserve">facility_month-000141</t>
  </si>
  <si>
    <t xml:space="preserve">facility_month-000142</t>
  </si>
  <si>
    <t xml:space="preserve">facility_month-000143</t>
  </si>
  <si>
    <t xml:space="preserve">facility_month-000144</t>
  </si>
  <si>
    <t xml:space="preserve">facility_month-000145</t>
  </si>
  <si>
    <t xml:space="preserve">facility_month-000146</t>
  </si>
  <si>
    <t xml:space="preserve">facility_month-000147</t>
  </si>
  <si>
    <t xml:space="preserve">facility_month-000148</t>
  </si>
  <si>
    <t xml:space="preserve">facility_month-000149</t>
  </si>
  <si>
    <t xml:space="preserve">facility_month-000150</t>
  </si>
  <si>
    <t xml:space="preserve">facility_month-000151</t>
  </si>
  <si>
    <t xml:space="preserve">facility_month-000152</t>
  </si>
  <si>
    <t xml:space="preserve">facility_month-000153</t>
  </si>
  <si>
    <t xml:space="preserve">facility_month-000154</t>
  </si>
  <si>
    <t xml:space="preserve">facility_month-000155</t>
  </si>
  <si>
    <t xml:space="preserve">facility_month-000156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</si>
</sst>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84E63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84E6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84E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Extract1" displayName="Extract1" ref="A1:J157" headerRowCount="1" totalsRowCount="0" totalsRowShown="0">
  <autoFilter ref="A1:J157"/>
  <tableColumns count="10">
    <tableColumn id="1" name="record_id"/>
    <tableColumn id="2" name="facility"/>
    <tableColumn id="3" name="month_start"/>
    <tableColumn id="4" name="inpatient_admissions"/>
    <tableColumn id="5" name="patient_days"/>
    <tableColumn id="6" name="ed_visits"/>
    <tableColumn id="7" name="surgical_cases"/>
    <tableColumn id="8" name="births"/>
    <tableColumn id="9" name="imaging_exams"/>
    <tableColumn id="10" name="outpatient_visit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26.85" hidden="false" customHeight="false" outlineLevel="0" collapsed="false">
      <c r="A1" s="1" t="s">
        <v>0</v>
      </c>
      <c r="B1" s="2"/>
    </row>
    <row r="2" customFormat="false" ht="31.5" hidden="false" customHeight="true" outlineLevel="0" collapsed="false">
      <c r="A2" s="3" t="s">
        <v>1</v>
      </c>
    </row>
    <row r="3" customFormat="false" ht="31.5" hidden="false" customHeight="true" outlineLevel="0" collapsed="false">
      <c r="A3" s="3" t="s">
        <v>2</v>
      </c>
      <c r="B3" s="3" t="s">
        <v>3</v>
      </c>
    </row>
    <row r="4" customFormat="false" ht="31.5" hidden="false" customHeight="true" outlineLevel="0" collapsed="false">
      <c r="A4" s="3" t="s">
        <v>4</v>
      </c>
      <c r="B4" s="3" t="s">
        <v>5</v>
      </c>
    </row>
    <row r="5" customFormat="false" ht="31.5" hidden="false" customHeight="true" outlineLevel="0" collapsed="false">
      <c r="A5" s="3" t="s">
        <v>6</v>
      </c>
      <c r="B5" s="3" t="s">
        <v>7</v>
      </c>
    </row>
    <row r="6" customFormat="false" ht="31.5" hidden="false" customHeight="true" outlineLevel="0" collapsed="false">
      <c r="A6" s="3" t="s">
        <v>8</v>
      </c>
      <c r="B6" s="3" t="s">
        <v>9</v>
      </c>
    </row>
    <row r="7" customFormat="false" ht="45" hidden="false" customHeight="true" outlineLevel="0" collapsed="false">
      <c r="A7" s="3" t="s">
        <v>10</v>
      </c>
      <c r="B7" s="3" t="s">
        <v>11</v>
      </c>
    </row>
    <row r="8" customFormat="false" ht="31.5" hidden="false" customHeight="true" outlineLevel="0" collapsed="false">
      <c r="A8" s="3" t="s">
        <v>12</v>
      </c>
      <c r="B8" s="3" t="s">
        <v>13</v>
      </c>
    </row>
    <row r="9" customFormat="false" ht="31.5" hidden="false" customHeight="true" outlineLevel="0" collapsed="false">
      <c r="A9" s="3" t="s">
        <v>14</v>
      </c>
      <c r="B9" s="3" t="s">
        <v>15</v>
      </c>
    </row>
    <row r="10" customFormat="false" ht="31.5" hidden="false" customHeight="true" outlineLevel="0" collapsed="false">
      <c r="A10" s="3" t="s">
        <v>14</v>
      </c>
      <c r="B10" s="3" t="s">
        <v>16</v>
      </c>
    </row>
    <row r="11" customFormat="false" ht="31.5" hidden="false" customHeight="true" outlineLevel="0" collapsed="false">
      <c r="A11" s="3" t="s">
        <v>14</v>
      </c>
      <c r="B11" s="3" t="s">
        <v>17</v>
      </c>
    </row>
    <row r="12" customFormat="false" ht="31.5" hidden="false" customHeight="true" outlineLevel="0" collapsed="false">
      <c r="A12" s="3" t="s">
        <v>14</v>
      </c>
      <c r="B12" s="3" t="s">
        <v>18</v>
      </c>
    </row>
    <row r="13" customFormat="false" ht="45" hidden="false" customHeight="true" outlineLevel="0" collapsed="false">
      <c r="A13" s="3" t="s">
        <v>19</v>
      </c>
      <c r="B13" s="3" t="s">
        <v>20</v>
      </c>
    </row>
    <row r="14" customFormat="false" ht="31.5" hidden="false" customHeight="true" outlineLevel="0" collapsed="false">
      <c r="A14" s="3" t="s">
        <v>19</v>
      </c>
      <c r="B14" s="3" t="s">
        <v>21</v>
      </c>
    </row>
    <row r="15" customFormat="false" ht="31.5" hidden="false" customHeight="true" outlineLevel="0" collapsed="false">
      <c r="A15" s="3" t="s">
        <v>19</v>
      </c>
      <c r="B15" s="3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8" min="1" style="0" width="25"/>
  </cols>
  <sheetData>
    <row r="1" customFormat="false" ht="15" hidden="false" customHeight="false" outlineLevel="0" collapsed="false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customFormat="false" ht="45" hidden="false" customHeight="true" outlineLevel="0" collapsed="false">
      <c r="A2" s="3" t="s">
        <v>31</v>
      </c>
      <c r="B2" s="3" t="s">
        <v>32</v>
      </c>
      <c r="C2" s="3" t="s">
        <v>33</v>
      </c>
      <c r="D2" s="4" t="n">
        <f aca="false">SUM('Data 1'!D2:D157)</f>
        <v>36013</v>
      </c>
      <c r="E2" s="4" t="n">
        <f aca="false">IF(COUNT('Data 1'!D2:D157)=0,0,AVERAGE('Data 1'!D2:D157))</f>
        <v>230.852564102564</v>
      </c>
      <c r="F2" s="0" t="n">
        <f aca="false">COUNT('Data 1'!D2:D157)</f>
        <v>156</v>
      </c>
      <c r="G2" s="3" t="s">
        <v>34</v>
      </c>
      <c r="H2" s="3" t="s">
        <v>35</v>
      </c>
    </row>
    <row r="3" customFormat="false" ht="45" hidden="false" customHeight="true" outlineLevel="0" collapsed="false">
      <c r="A3" s="3" t="s">
        <v>31</v>
      </c>
      <c r="B3" s="3" t="s">
        <v>36</v>
      </c>
      <c r="C3" s="3" t="s">
        <v>37</v>
      </c>
      <c r="D3" s="4" t="n">
        <f aca="false">SUM('Data 1'!E2:E157)</f>
        <v>160996</v>
      </c>
      <c r="E3" s="4" t="n">
        <f aca="false">IF(COUNT('Data 1'!E2:E157)=0,0,AVERAGE('Data 1'!E2:E157))</f>
        <v>1032.02564102564</v>
      </c>
      <c r="F3" s="0" t="n">
        <f aca="false">COUNT('Data 1'!E2:E157)</f>
        <v>156</v>
      </c>
      <c r="G3" s="3" t="s">
        <v>34</v>
      </c>
      <c r="H3" s="3" t="s">
        <v>35</v>
      </c>
    </row>
    <row r="4" customFormat="false" ht="45" hidden="false" customHeight="true" outlineLevel="0" collapsed="false">
      <c r="A4" s="3" t="s">
        <v>31</v>
      </c>
      <c r="B4" s="3" t="s">
        <v>38</v>
      </c>
      <c r="C4" s="3" t="s">
        <v>39</v>
      </c>
      <c r="D4" s="4" t="n">
        <f aca="false">SUM('Data 1'!F2:F157)</f>
        <v>226605</v>
      </c>
      <c r="E4" s="4" t="n">
        <f aca="false">IF(COUNT('Data 1'!F2:F157)=0,0,AVERAGE('Data 1'!F2:F157))</f>
        <v>1452.59615384615</v>
      </c>
      <c r="F4" s="0" t="n">
        <f aca="false">COUNT('Data 1'!F2:F157)</f>
        <v>156</v>
      </c>
      <c r="G4" s="3" t="s">
        <v>34</v>
      </c>
      <c r="H4" s="3" t="s">
        <v>35</v>
      </c>
    </row>
    <row r="5" customFormat="false" ht="45" hidden="false" customHeight="true" outlineLevel="0" collapsed="false">
      <c r="A5" s="3" t="s">
        <v>31</v>
      </c>
      <c r="B5" s="3" t="s">
        <v>40</v>
      </c>
      <c r="C5" s="3" t="s">
        <v>41</v>
      </c>
      <c r="D5" s="4" t="n">
        <f aca="false">SUM('Data 1'!G2:G157)</f>
        <v>41432</v>
      </c>
      <c r="E5" s="4" t="n">
        <f aca="false">IF(COUNT('Data 1'!G2:G157)=0,0,AVERAGE('Data 1'!G2:G157))</f>
        <v>265.589743589744</v>
      </c>
      <c r="F5" s="0" t="n">
        <f aca="false">COUNT('Data 1'!G2:G157)</f>
        <v>156</v>
      </c>
      <c r="G5" s="3" t="s">
        <v>34</v>
      </c>
      <c r="H5" s="3" t="s">
        <v>35</v>
      </c>
    </row>
    <row r="6" customFormat="false" ht="45" hidden="false" customHeight="true" outlineLevel="0" collapsed="false">
      <c r="A6" s="3" t="s">
        <v>31</v>
      </c>
      <c r="B6" s="3" t="s">
        <v>42</v>
      </c>
      <c r="C6" s="3" t="s">
        <v>42</v>
      </c>
      <c r="D6" s="4" t="n">
        <f aca="false">SUM('Data 1'!H2:H157)</f>
        <v>5223</v>
      </c>
      <c r="E6" s="4" t="n">
        <f aca="false">IF(COUNT('Data 1'!H2:H157)=0,0,AVERAGE('Data 1'!H2:H157))</f>
        <v>33.4807692307692</v>
      </c>
      <c r="F6" s="0" t="n">
        <f aca="false">COUNT('Data 1'!H2:H157)</f>
        <v>156</v>
      </c>
      <c r="G6" s="3" t="s">
        <v>34</v>
      </c>
      <c r="H6" s="3" t="s">
        <v>35</v>
      </c>
    </row>
    <row r="7" customFormat="false" ht="45" hidden="false" customHeight="true" outlineLevel="0" collapsed="false">
      <c r="A7" s="3" t="s">
        <v>31</v>
      </c>
      <c r="B7" s="3" t="s">
        <v>43</v>
      </c>
      <c r="C7" s="3" t="s">
        <v>44</v>
      </c>
      <c r="D7" s="4" t="n">
        <f aca="false">SUM('Data 1'!I2:I157)</f>
        <v>564092</v>
      </c>
      <c r="E7" s="4" t="n">
        <f aca="false">IF(COUNT('Data 1'!I2:I157)=0,0,AVERAGE('Data 1'!I2:I157))</f>
        <v>3615.97435897436</v>
      </c>
      <c r="F7" s="0" t="n">
        <f aca="false">COUNT('Data 1'!I2:I157)</f>
        <v>156</v>
      </c>
      <c r="G7" s="3" t="s">
        <v>34</v>
      </c>
      <c r="H7" s="3" t="s">
        <v>35</v>
      </c>
    </row>
    <row r="8" customFormat="false" ht="45" hidden="false" customHeight="true" outlineLevel="0" collapsed="false">
      <c r="A8" s="3" t="s">
        <v>31</v>
      </c>
      <c r="B8" s="3" t="s">
        <v>45</v>
      </c>
      <c r="C8" s="3" t="s">
        <v>39</v>
      </c>
      <c r="D8" s="4" t="n">
        <f aca="false">SUM('Data 1'!J2:J157)</f>
        <v>391033</v>
      </c>
      <c r="E8" s="4" t="n">
        <f aca="false">IF(COUNT('Data 1'!J2:J157)=0,0,AVERAGE('Data 1'!J2:J157))</f>
        <v>2506.6217948718</v>
      </c>
      <c r="F8" s="0" t="n">
        <f aca="false">COUNT('Data 1'!J2:J157)</f>
        <v>156</v>
      </c>
      <c r="G8" s="3" t="s">
        <v>34</v>
      </c>
      <c r="H8" s="3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5"/>
  </cols>
  <sheetData>
    <row r="1" customFormat="false" ht="15" hidden="false" customHeight="false" outlineLevel="0" collapsed="false">
      <c r="A1" s="1" t="s">
        <v>23</v>
      </c>
      <c r="B1" s="1" t="s">
        <v>46</v>
      </c>
      <c r="C1" s="1" t="s">
        <v>47</v>
      </c>
      <c r="D1" s="1" t="s">
        <v>25</v>
      </c>
      <c r="E1" s="1" t="s">
        <v>48</v>
      </c>
      <c r="F1" s="1" t="s">
        <v>49</v>
      </c>
    </row>
    <row r="2" customFormat="false" ht="31.5" hidden="false" customHeight="true" outlineLevel="0" collapsed="false">
      <c r="A2" s="3" t="s">
        <v>31</v>
      </c>
      <c r="B2" s="3" t="s">
        <v>50</v>
      </c>
      <c r="C2" s="3" t="s">
        <v>51</v>
      </c>
      <c r="D2" s="3"/>
      <c r="E2" s="3" t="s">
        <v>52</v>
      </c>
      <c r="F2" s="3"/>
    </row>
    <row r="3" customFormat="false" ht="31.5" hidden="false" customHeight="true" outlineLevel="0" collapsed="false">
      <c r="A3" s="3" t="s">
        <v>31</v>
      </c>
      <c r="B3" s="3" t="s">
        <v>53</v>
      </c>
      <c r="C3" s="3" t="s">
        <v>54</v>
      </c>
      <c r="D3" s="3"/>
      <c r="E3" s="3" t="s">
        <v>55</v>
      </c>
      <c r="F3" s="3"/>
    </row>
    <row r="4" customFormat="false" ht="31.5" hidden="false" customHeight="true" outlineLevel="0" collapsed="false">
      <c r="A4" s="3" t="s">
        <v>31</v>
      </c>
      <c r="B4" s="3" t="s">
        <v>56</v>
      </c>
      <c r="C4" s="3" t="s">
        <v>57</v>
      </c>
      <c r="D4" s="3"/>
      <c r="E4" s="3" t="s">
        <v>58</v>
      </c>
      <c r="F4" s="3"/>
    </row>
    <row r="5" customFormat="false" ht="31.5" hidden="false" customHeight="true" outlineLevel="0" collapsed="false">
      <c r="A5" s="3" t="s">
        <v>31</v>
      </c>
      <c r="B5" s="3" t="s">
        <v>32</v>
      </c>
      <c r="C5" s="3" t="s">
        <v>59</v>
      </c>
      <c r="D5" s="3" t="s">
        <v>33</v>
      </c>
      <c r="E5" s="3" t="s">
        <v>60</v>
      </c>
      <c r="F5" s="3"/>
    </row>
    <row r="6" customFormat="false" ht="31.5" hidden="false" customHeight="true" outlineLevel="0" collapsed="false">
      <c r="A6" s="3" t="s">
        <v>31</v>
      </c>
      <c r="B6" s="3" t="s">
        <v>36</v>
      </c>
      <c r="C6" s="3" t="s">
        <v>61</v>
      </c>
      <c r="D6" s="3" t="s">
        <v>37</v>
      </c>
      <c r="E6" s="3" t="s">
        <v>60</v>
      </c>
      <c r="F6" s="3"/>
    </row>
    <row r="7" customFormat="false" ht="31.5" hidden="false" customHeight="true" outlineLevel="0" collapsed="false">
      <c r="A7" s="3" t="s">
        <v>31</v>
      </c>
      <c r="B7" s="3" t="s">
        <v>38</v>
      </c>
      <c r="C7" s="3" t="s">
        <v>62</v>
      </c>
      <c r="D7" s="3" t="s">
        <v>39</v>
      </c>
      <c r="E7" s="3" t="s">
        <v>60</v>
      </c>
      <c r="F7" s="3"/>
    </row>
    <row r="8" customFormat="false" ht="45" hidden="false" customHeight="true" outlineLevel="0" collapsed="false">
      <c r="A8" s="3" t="s">
        <v>31</v>
      </c>
      <c r="B8" s="3" t="s">
        <v>40</v>
      </c>
      <c r="C8" s="3" t="s">
        <v>63</v>
      </c>
      <c r="D8" s="3" t="s">
        <v>41</v>
      </c>
      <c r="E8" s="3" t="s">
        <v>60</v>
      </c>
      <c r="F8" s="3"/>
    </row>
    <row r="9" customFormat="false" ht="31.5" hidden="false" customHeight="true" outlineLevel="0" collapsed="false">
      <c r="A9" s="3" t="s">
        <v>31</v>
      </c>
      <c r="B9" s="3" t="s">
        <v>42</v>
      </c>
      <c r="C9" s="3" t="s">
        <v>64</v>
      </c>
      <c r="D9" s="3" t="s">
        <v>42</v>
      </c>
      <c r="E9" s="3" t="s">
        <v>60</v>
      </c>
      <c r="F9" s="3"/>
    </row>
    <row r="10" customFormat="false" ht="31.5" hidden="false" customHeight="true" outlineLevel="0" collapsed="false">
      <c r="A10" s="3" t="s">
        <v>31</v>
      </c>
      <c r="B10" s="3" t="s">
        <v>43</v>
      </c>
      <c r="C10" s="3" t="s">
        <v>65</v>
      </c>
      <c r="D10" s="3" t="s">
        <v>44</v>
      </c>
      <c r="E10" s="3" t="s">
        <v>60</v>
      </c>
      <c r="F10" s="3"/>
    </row>
    <row r="11" customFormat="false" ht="45" hidden="false" customHeight="true" outlineLevel="0" collapsed="false">
      <c r="A11" s="3" t="s">
        <v>31</v>
      </c>
      <c r="B11" s="3" t="s">
        <v>45</v>
      </c>
      <c r="C11" s="3" t="s">
        <v>66</v>
      </c>
      <c r="D11" s="3" t="s">
        <v>39</v>
      </c>
      <c r="E11" s="3" t="s">
        <v>60</v>
      </c>
      <c r="F11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0" min="1" style="0" width="25"/>
  </cols>
  <sheetData>
    <row r="1" customFormat="false" ht="15" hidden="false" customHeight="false" outlineLevel="0" collapsed="false">
      <c r="A1" s="1" t="s">
        <v>50</v>
      </c>
      <c r="B1" s="1" t="s">
        <v>53</v>
      </c>
      <c r="C1" s="1" t="s">
        <v>56</v>
      </c>
      <c r="D1" s="1" t="s">
        <v>32</v>
      </c>
      <c r="E1" s="1" t="s">
        <v>36</v>
      </c>
      <c r="F1" s="1" t="s">
        <v>38</v>
      </c>
      <c r="G1" s="1" t="s">
        <v>40</v>
      </c>
      <c r="H1" s="1" t="s">
        <v>42</v>
      </c>
      <c r="I1" s="1" t="s">
        <v>43</v>
      </c>
      <c r="J1" s="1" t="s">
        <v>45</v>
      </c>
    </row>
    <row r="2" customFormat="false" ht="15" hidden="false" customHeight="false" outlineLevel="0" collapsed="false">
      <c r="A2" s="3" t="s">
        <v>67</v>
      </c>
      <c r="B2" s="3" t="s">
        <v>68</v>
      </c>
      <c r="C2" s="3" t="s">
        <v>34</v>
      </c>
      <c r="D2" s="0" t="n">
        <v>871</v>
      </c>
      <c r="E2" s="0" t="n">
        <v>4131</v>
      </c>
      <c r="F2" s="0" t="n">
        <v>5218</v>
      </c>
      <c r="G2" s="0" t="n">
        <v>642</v>
      </c>
      <c r="H2" s="0" t="n">
        <v>196</v>
      </c>
      <c r="I2" s="0" t="n">
        <v>9373</v>
      </c>
      <c r="J2" s="0" t="n">
        <v>2683</v>
      </c>
    </row>
    <row r="3" customFormat="false" ht="15" hidden="false" customHeight="false" outlineLevel="0" collapsed="false">
      <c r="A3" s="3" t="s">
        <v>69</v>
      </c>
      <c r="B3" s="3" t="s">
        <v>68</v>
      </c>
      <c r="C3" s="3" t="s">
        <v>70</v>
      </c>
      <c r="D3" s="0" t="n">
        <v>894</v>
      </c>
      <c r="E3" s="0" t="n">
        <v>4038</v>
      </c>
      <c r="F3" s="0" t="n">
        <v>5267</v>
      </c>
      <c r="G3" s="0" t="n">
        <v>687</v>
      </c>
      <c r="H3" s="0" t="n">
        <v>213</v>
      </c>
      <c r="I3" s="0" t="n">
        <v>9835</v>
      </c>
      <c r="J3" s="0" t="n">
        <v>2613</v>
      </c>
    </row>
    <row r="4" customFormat="false" ht="15" hidden="false" customHeight="false" outlineLevel="0" collapsed="false">
      <c r="A4" s="3" t="s">
        <v>71</v>
      </c>
      <c r="B4" s="3" t="s">
        <v>68</v>
      </c>
      <c r="C4" s="3" t="s">
        <v>72</v>
      </c>
      <c r="D4" s="0" t="n">
        <v>856</v>
      </c>
      <c r="E4" s="0" t="n">
        <v>4036</v>
      </c>
      <c r="F4" s="0" t="n">
        <v>4961</v>
      </c>
      <c r="G4" s="0" t="n">
        <v>651</v>
      </c>
      <c r="H4" s="0" t="n">
        <v>175</v>
      </c>
      <c r="I4" s="0" t="n">
        <v>9342</v>
      </c>
      <c r="J4" s="0" t="n">
        <v>2563</v>
      </c>
    </row>
    <row r="5" customFormat="false" ht="15" hidden="false" customHeight="false" outlineLevel="0" collapsed="false">
      <c r="A5" s="3" t="s">
        <v>73</v>
      </c>
      <c r="B5" s="3" t="s">
        <v>68</v>
      </c>
      <c r="C5" s="3" t="s">
        <v>74</v>
      </c>
      <c r="D5" s="0" t="n">
        <v>929</v>
      </c>
      <c r="E5" s="0" t="n">
        <v>4210</v>
      </c>
      <c r="F5" s="0" t="n">
        <v>4972</v>
      </c>
      <c r="G5" s="0" t="n">
        <v>738</v>
      </c>
      <c r="H5" s="0" t="n">
        <v>201</v>
      </c>
      <c r="I5" s="0" t="n">
        <v>9804</v>
      </c>
      <c r="J5" s="0" t="n">
        <v>2608</v>
      </c>
    </row>
    <row r="6" customFormat="false" ht="15" hidden="false" customHeight="false" outlineLevel="0" collapsed="false">
      <c r="A6" s="3" t="s">
        <v>75</v>
      </c>
      <c r="B6" s="3" t="s">
        <v>68</v>
      </c>
      <c r="C6" s="3" t="s">
        <v>76</v>
      </c>
      <c r="D6" s="0" t="n">
        <v>874</v>
      </c>
      <c r="E6" s="0" t="n">
        <v>4110</v>
      </c>
      <c r="F6" s="0" t="n">
        <v>4828</v>
      </c>
      <c r="G6" s="0" t="n">
        <v>652</v>
      </c>
      <c r="H6" s="0" t="n">
        <v>218</v>
      </c>
      <c r="I6" s="0" t="n">
        <v>9084</v>
      </c>
      <c r="J6" s="0" t="n">
        <v>2609</v>
      </c>
    </row>
    <row r="7" customFormat="false" ht="15" hidden="false" customHeight="false" outlineLevel="0" collapsed="false">
      <c r="A7" s="3" t="s">
        <v>77</v>
      </c>
      <c r="B7" s="3" t="s">
        <v>68</v>
      </c>
      <c r="C7" s="3" t="s">
        <v>78</v>
      </c>
      <c r="D7" s="0" t="n">
        <v>943</v>
      </c>
      <c r="E7" s="0" t="n">
        <v>4477</v>
      </c>
      <c r="F7" s="0" t="n">
        <v>5463</v>
      </c>
      <c r="G7" s="0" t="n">
        <v>796</v>
      </c>
      <c r="H7" s="0" t="n">
        <v>206</v>
      </c>
      <c r="I7" s="0" t="n">
        <v>9297</v>
      </c>
      <c r="J7" s="0" t="n">
        <v>2580</v>
      </c>
    </row>
    <row r="8" customFormat="false" ht="15" hidden="false" customHeight="false" outlineLevel="0" collapsed="false">
      <c r="A8" s="3" t="s">
        <v>79</v>
      </c>
      <c r="B8" s="3" t="s">
        <v>68</v>
      </c>
      <c r="C8" s="3" t="s">
        <v>80</v>
      </c>
      <c r="D8" s="0" t="n">
        <v>1032</v>
      </c>
      <c r="E8" s="0" t="n">
        <v>4772</v>
      </c>
      <c r="F8" s="0" t="n">
        <v>5718</v>
      </c>
      <c r="G8" s="0" t="n">
        <v>661</v>
      </c>
      <c r="H8" s="0" t="n">
        <v>173</v>
      </c>
      <c r="I8" s="0" t="n">
        <v>9849</v>
      </c>
      <c r="J8" s="0" t="n">
        <v>2812</v>
      </c>
    </row>
    <row r="9" customFormat="false" ht="15" hidden="false" customHeight="false" outlineLevel="0" collapsed="false">
      <c r="A9" s="3" t="s">
        <v>81</v>
      </c>
      <c r="B9" s="3" t="s">
        <v>68</v>
      </c>
      <c r="C9" s="3" t="s">
        <v>82</v>
      </c>
      <c r="D9" s="0" t="n">
        <v>952</v>
      </c>
      <c r="E9" s="0" t="n">
        <v>4447</v>
      </c>
      <c r="F9" s="0" t="n">
        <v>4981</v>
      </c>
      <c r="G9" s="0" t="n">
        <v>642</v>
      </c>
      <c r="H9" s="0" t="n">
        <v>187</v>
      </c>
      <c r="I9" s="0" t="n">
        <v>8801</v>
      </c>
      <c r="J9" s="0" t="n">
        <v>2514</v>
      </c>
    </row>
    <row r="10" customFormat="false" ht="15" hidden="false" customHeight="false" outlineLevel="0" collapsed="false">
      <c r="A10" s="3" t="s">
        <v>83</v>
      </c>
      <c r="B10" s="3" t="s">
        <v>68</v>
      </c>
      <c r="C10" s="3" t="s">
        <v>84</v>
      </c>
      <c r="D10" s="0" t="n">
        <v>959</v>
      </c>
      <c r="E10" s="0" t="n">
        <v>4427</v>
      </c>
      <c r="F10" s="0" t="n">
        <v>5218</v>
      </c>
      <c r="G10" s="0" t="n">
        <v>726</v>
      </c>
      <c r="H10" s="0" t="n">
        <v>220</v>
      </c>
      <c r="I10" s="0" t="n">
        <v>9822</v>
      </c>
      <c r="J10" s="0" t="n">
        <v>2721</v>
      </c>
    </row>
    <row r="11" customFormat="false" ht="15" hidden="false" customHeight="false" outlineLevel="0" collapsed="false">
      <c r="A11" s="3" t="s">
        <v>85</v>
      </c>
      <c r="B11" s="3" t="s">
        <v>68</v>
      </c>
      <c r="C11" s="3" t="s">
        <v>86</v>
      </c>
      <c r="D11" s="0" t="n">
        <v>871</v>
      </c>
      <c r="E11" s="0" t="n">
        <v>3981</v>
      </c>
      <c r="F11" s="0" t="n">
        <v>4905</v>
      </c>
      <c r="G11" s="0" t="n">
        <v>662</v>
      </c>
      <c r="H11" s="0" t="n">
        <v>183</v>
      </c>
      <c r="I11" s="0" t="n">
        <v>9556</v>
      </c>
      <c r="J11" s="0" t="n">
        <v>2670</v>
      </c>
    </row>
    <row r="12" customFormat="false" ht="15" hidden="false" customHeight="false" outlineLevel="0" collapsed="false">
      <c r="A12" s="3" t="s">
        <v>87</v>
      </c>
      <c r="B12" s="3" t="s">
        <v>68</v>
      </c>
      <c r="C12" s="3" t="s">
        <v>88</v>
      </c>
      <c r="D12" s="0" t="n">
        <v>946</v>
      </c>
      <c r="E12" s="0" t="n">
        <v>4243</v>
      </c>
      <c r="F12" s="0" t="n">
        <v>5104</v>
      </c>
      <c r="G12" s="0" t="n">
        <v>731</v>
      </c>
      <c r="H12" s="0" t="n">
        <v>222</v>
      </c>
      <c r="I12" s="0" t="n">
        <v>9917</v>
      </c>
      <c r="J12" s="0" t="n">
        <v>2668</v>
      </c>
    </row>
    <row r="13" customFormat="false" ht="15" hidden="false" customHeight="false" outlineLevel="0" collapsed="false">
      <c r="A13" s="3" t="s">
        <v>89</v>
      </c>
      <c r="B13" s="3" t="s">
        <v>68</v>
      </c>
      <c r="C13" s="3" t="s">
        <v>90</v>
      </c>
      <c r="D13" s="0" t="n">
        <v>868</v>
      </c>
      <c r="E13" s="0" t="n">
        <v>3965</v>
      </c>
      <c r="F13" s="0" t="n">
        <v>4899</v>
      </c>
      <c r="G13" s="0" t="n">
        <v>714</v>
      </c>
      <c r="H13" s="0" t="n">
        <v>208</v>
      </c>
      <c r="I13" s="0" t="n">
        <v>9505</v>
      </c>
      <c r="J13" s="0" t="n">
        <v>2612</v>
      </c>
    </row>
    <row r="14" customFormat="false" ht="15" hidden="false" customHeight="false" outlineLevel="0" collapsed="false">
      <c r="A14" s="3" t="s">
        <v>91</v>
      </c>
      <c r="B14" s="3" t="s">
        <v>68</v>
      </c>
      <c r="C14" s="3" t="s">
        <v>92</v>
      </c>
      <c r="D14" s="0" t="n">
        <v>886</v>
      </c>
      <c r="E14" s="0" t="n">
        <v>3990</v>
      </c>
      <c r="F14" s="0" t="n">
        <v>5308</v>
      </c>
      <c r="G14" s="0" t="n">
        <v>663</v>
      </c>
      <c r="H14" s="0" t="n">
        <v>199</v>
      </c>
      <c r="I14" s="0" t="n">
        <v>9578</v>
      </c>
      <c r="J14" s="0" t="n">
        <v>2585</v>
      </c>
    </row>
    <row r="15" customFormat="false" ht="15" hidden="false" customHeight="false" outlineLevel="0" collapsed="false">
      <c r="A15" s="3" t="s">
        <v>93</v>
      </c>
      <c r="B15" s="3" t="s">
        <v>68</v>
      </c>
      <c r="C15" s="3" t="s">
        <v>94</v>
      </c>
      <c r="D15" s="0" t="n">
        <v>906</v>
      </c>
      <c r="E15" s="0" t="n">
        <v>4223</v>
      </c>
      <c r="F15" s="0" t="n">
        <v>5333</v>
      </c>
      <c r="G15" s="0" t="n">
        <v>711</v>
      </c>
      <c r="H15" s="0" t="n">
        <v>215</v>
      </c>
      <c r="I15" s="0" t="n">
        <v>10014</v>
      </c>
      <c r="J15" s="0" t="n">
        <v>2702</v>
      </c>
    </row>
    <row r="16" customFormat="false" ht="15" hidden="false" customHeight="false" outlineLevel="0" collapsed="false">
      <c r="A16" s="3" t="s">
        <v>95</v>
      </c>
      <c r="B16" s="3" t="s">
        <v>68</v>
      </c>
      <c r="C16" s="3" t="s">
        <v>96</v>
      </c>
      <c r="D16" s="0" t="n">
        <v>878</v>
      </c>
      <c r="E16" s="0" t="n">
        <v>4155</v>
      </c>
      <c r="F16" s="0" t="n">
        <v>4871</v>
      </c>
      <c r="G16" s="0" t="n">
        <v>686</v>
      </c>
      <c r="H16" s="0" t="n">
        <v>212</v>
      </c>
      <c r="I16" s="0" t="n">
        <v>9604</v>
      </c>
      <c r="J16" s="0" t="n">
        <v>2672</v>
      </c>
    </row>
    <row r="17" customFormat="false" ht="15" hidden="false" customHeight="false" outlineLevel="0" collapsed="false">
      <c r="A17" s="3" t="s">
        <v>97</v>
      </c>
      <c r="B17" s="3" t="s">
        <v>68</v>
      </c>
      <c r="C17" s="3" t="s">
        <v>98</v>
      </c>
      <c r="D17" s="0" t="n">
        <v>874</v>
      </c>
      <c r="E17" s="0" t="n">
        <v>3980</v>
      </c>
      <c r="F17" s="0" t="n">
        <v>5159</v>
      </c>
      <c r="G17" s="0" t="n">
        <v>702</v>
      </c>
      <c r="H17" s="0" t="n">
        <v>210</v>
      </c>
      <c r="I17" s="0" t="n">
        <v>9902</v>
      </c>
      <c r="J17" s="0" t="n">
        <v>2751</v>
      </c>
    </row>
    <row r="18" customFormat="false" ht="15" hidden="false" customHeight="false" outlineLevel="0" collapsed="false">
      <c r="A18" s="3" t="s">
        <v>99</v>
      </c>
      <c r="B18" s="3" t="s">
        <v>68</v>
      </c>
      <c r="C18" s="3" t="s">
        <v>100</v>
      </c>
      <c r="D18" s="0" t="n">
        <v>923</v>
      </c>
      <c r="E18" s="0" t="n">
        <v>4173</v>
      </c>
      <c r="F18" s="0" t="n">
        <v>5077</v>
      </c>
      <c r="G18" s="0" t="n">
        <v>635</v>
      </c>
      <c r="H18" s="0" t="n">
        <v>215</v>
      </c>
      <c r="I18" s="0" t="n">
        <v>9206</v>
      </c>
      <c r="J18" s="0" t="n">
        <v>2584</v>
      </c>
    </row>
    <row r="19" customFormat="false" ht="15" hidden="false" customHeight="false" outlineLevel="0" collapsed="false">
      <c r="A19" s="3" t="s">
        <v>101</v>
      </c>
      <c r="B19" s="3" t="s">
        <v>68</v>
      </c>
      <c r="C19" s="3" t="s">
        <v>102</v>
      </c>
      <c r="D19" s="0" t="n">
        <v>982</v>
      </c>
      <c r="E19" s="0" t="n">
        <v>4515</v>
      </c>
      <c r="F19" s="0" t="n">
        <v>5392</v>
      </c>
      <c r="G19" s="0" t="n">
        <v>787</v>
      </c>
      <c r="H19" s="0" t="n">
        <v>213</v>
      </c>
      <c r="I19" s="0" t="n">
        <v>9556</v>
      </c>
      <c r="J19" s="0" t="n">
        <v>2571</v>
      </c>
    </row>
    <row r="20" customFormat="false" ht="15" hidden="false" customHeight="false" outlineLevel="0" collapsed="false">
      <c r="A20" s="3" t="s">
        <v>103</v>
      </c>
      <c r="B20" s="3" t="s">
        <v>68</v>
      </c>
      <c r="C20" s="3" t="s">
        <v>104</v>
      </c>
      <c r="D20" s="0" t="n">
        <v>964</v>
      </c>
      <c r="E20" s="0" t="n">
        <v>4487</v>
      </c>
      <c r="F20" s="0" t="n">
        <v>5674</v>
      </c>
      <c r="G20" s="0" t="n">
        <v>712</v>
      </c>
      <c r="H20" s="0" t="n">
        <v>193</v>
      </c>
      <c r="I20" s="0" t="n">
        <v>9818</v>
      </c>
      <c r="J20" s="0" t="n">
        <v>2919</v>
      </c>
    </row>
    <row r="21" customFormat="false" ht="15" hidden="false" customHeight="false" outlineLevel="0" collapsed="false">
      <c r="A21" s="3" t="s">
        <v>105</v>
      </c>
      <c r="B21" s="3" t="s">
        <v>68</v>
      </c>
      <c r="C21" s="3" t="s">
        <v>106</v>
      </c>
      <c r="D21" s="0" t="n">
        <v>864</v>
      </c>
      <c r="E21" s="0" t="n">
        <v>3933</v>
      </c>
      <c r="F21" s="0" t="n">
        <v>5023</v>
      </c>
      <c r="G21" s="0" t="n">
        <v>707</v>
      </c>
      <c r="H21" s="0" t="n">
        <v>167</v>
      </c>
      <c r="I21" s="0" t="n">
        <v>8918</v>
      </c>
      <c r="J21" s="0" t="n">
        <v>2508</v>
      </c>
    </row>
    <row r="22" customFormat="false" ht="15" hidden="false" customHeight="false" outlineLevel="0" collapsed="false">
      <c r="A22" s="3" t="s">
        <v>107</v>
      </c>
      <c r="B22" s="3" t="s">
        <v>68</v>
      </c>
      <c r="C22" s="3" t="s">
        <v>108</v>
      </c>
      <c r="D22" s="0" t="n">
        <v>920</v>
      </c>
      <c r="E22" s="0" t="n">
        <v>4142</v>
      </c>
      <c r="F22" s="0" t="n">
        <v>5249</v>
      </c>
      <c r="G22" s="0" t="n">
        <v>752</v>
      </c>
      <c r="H22" s="0" t="n">
        <v>185</v>
      </c>
      <c r="I22" s="0" t="n">
        <v>9981</v>
      </c>
      <c r="J22" s="0" t="n">
        <v>2667</v>
      </c>
    </row>
    <row r="23" customFormat="false" ht="15" hidden="false" customHeight="false" outlineLevel="0" collapsed="false">
      <c r="A23" s="3" t="s">
        <v>109</v>
      </c>
      <c r="B23" s="3" t="s">
        <v>68</v>
      </c>
      <c r="C23" s="3" t="s">
        <v>110</v>
      </c>
      <c r="D23" s="0" t="n">
        <v>843</v>
      </c>
      <c r="E23" s="0" t="n">
        <v>3869</v>
      </c>
      <c r="F23" s="0" t="n">
        <v>4987</v>
      </c>
      <c r="G23" s="0" t="n">
        <v>642</v>
      </c>
      <c r="H23" s="0" t="n">
        <v>194</v>
      </c>
      <c r="I23" s="0" t="n">
        <v>9644</v>
      </c>
      <c r="J23" s="0" t="n">
        <v>2623</v>
      </c>
    </row>
    <row r="24" customFormat="false" ht="15" hidden="false" customHeight="false" outlineLevel="0" collapsed="false">
      <c r="A24" s="3" t="s">
        <v>111</v>
      </c>
      <c r="B24" s="3" t="s">
        <v>68</v>
      </c>
      <c r="C24" s="3" t="s">
        <v>112</v>
      </c>
      <c r="D24" s="0" t="n">
        <v>862</v>
      </c>
      <c r="E24" s="0" t="n">
        <v>4005</v>
      </c>
      <c r="F24" s="0" t="n">
        <v>5248</v>
      </c>
      <c r="G24" s="0" t="n">
        <v>716</v>
      </c>
      <c r="H24" s="0" t="n">
        <v>194</v>
      </c>
      <c r="I24" s="0" t="n">
        <v>9972</v>
      </c>
      <c r="J24" s="0" t="n">
        <v>2703</v>
      </c>
    </row>
    <row r="25" customFormat="false" ht="15" hidden="false" customHeight="false" outlineLevel="0" collapsed="false">
      <c r="A25" s="3" t="s">
        <v>113</v>
      </c>
      <c r="B25" s="3" t="s">
        <v>68</v>
      </c>
      <c r="C25" s="3" t="s">
        <v>114</v>
      </c>
      <c r="D25" s="0" t="n">
        <v>856</v>
      </c>
      <c r="E25" s="0" t="n">
        <v>4031</v>
      </c>
      <c r="F25" s="0" t="n">
        <v>5166</v>
      </c>
      <c r="G25" s="0" t="n">
        <v>657</v>
      </c>
      <c r="H25" s="0" t="n">
        <v>202</v>
      </c>
      <c r="I25" s="0" t="n">
        <v>9808</v>
      </c>
      <c r="J25" s="0" t="n">
        <v>2647</v>
      </c>
    </row>
    <row r="26" customFormat="false" ht="15" hidden="false" customHeight="false" outlineLevel="0" collapsed="false">
      <c r="A26" s="3" t="s">
        <v>115</v>
      </c>
      <c r="B26" s="3" t="s">
        <v>68</v>
      </c>
      <c r="C26" s="3" t="s">
        <v>116</v>
      </c>
      <c r="D26" s="0" t="n">
        <v>903</v>
      </c>
      <c r="E26" s="0" t="n">
        <v>4229</v>
      </c>
      <c r="F26" s="0" t="n">
        <v>5449</v>
      </c>
      <c r="G26" s="0" t="n">
        <v>665</v>
      </c>
      <c r="H26" s="0" t="n">
        <v>198</v>
      </c>
      <c r="I26" s="0" t="n">
        <v>9617</v>
      </c>
      <c r="J26" s="0" t="n">
        <v>2676</v>
      </c>
    </row>
    <row r="27" customFormat="false" ht="15" hidden="false" customHeight="false" outlineLevel="0" collapsed="false">
      <c r="A27" s="3" t="s">
        <v>117</v>
      </c>
      <c r="B27" s="3" t="s">
        <v>68</v>
      </c>
      <c r="C27" s="3" t="s">
        <v>118</v>
      </c>
      <c r="D27" s="0" t="n">
        <v>962</v>
      </c>
      <c r="E27" s="0" t="n">
        <v>4567</v>
      </c>
      <c r="F27" s="0" t="n">
        <v>5539</v>
      </c>
      <c r="G27" s="0" t="n">
        <v>703</v>
      </c>
      <c r="H27" s="0" t="n">
        <v>224</v>
      </c>
      <c r="I27" s="0" t="n">
        <v>9819</v>
      </c>
      <c r="J27" s="0" t="n">
        <v>2648</v>
      </c>
    </row>
    <row r="28" customFormat="false" ht="15" hidden="false" customHeight="false" outlineLevel="0" collapsed="false">
      <c r="A28" s="3" t="s">
        <v>119</v>
      </c>
      <c r="B28" s="3" t="s">
        <v>120</v>
      </c>
      <c r="C28" s="3" t="s">
        <v>34</v>
      </c>
      <c r="D28" s="0" t="n">
        <v>448</v>
      </c>
      <c r="E28" s="0" t="n">
        <v>1842</v>
      </c>
      <c r="F28" s="0" t="n">
        <v>3348</v>
      </c>
      <c r="G28" s="0" t="n">
        <v>312</v>
      </c>
      <c r="H28" s="0" t="n">
        <v>0</v>
      </c>
      <c r="I28" s="0" t="n">
        <v>5131</v>
      </c>
      <c r="J28" s="0" t="n">
        <v>1359</v>
      </c>
    </row>
    <row r="29" customFormat="false" ht="15" hidden="false" customHeight="false" outlineLevel="0" collapsed="false">
      <c r="A29" s="3" t="s">
        <v>121</v>
      </c>
      <c r="B29" s="3" t="s">
        <v>120</v>
      </c>
      <c r="C29" s="3" t="s">
        <v>70</v>
      </c>
      <c r="D29" s="0" t="n">
        <v>423</v>
      </c>
      <c r="E29" s="0" t="n">
        <v>1821</v>
      </c>
      <c r="F29" s="0" t="n">
        <v>3481</v>
      </c>
      <c r="G29" s="0" t="n">
        <v>387</v>
      </c>
      <c r="H29" s="0" t="n">
        <v>0</v>
      </c>
      <c r="I29" s="0" t="n">
        <v>5336</v>
      </c>
      <c r="J29" s="0" t="n">
        <v>1422</v>
      </c>
    </row>
    <row r="30" customFormat="false" ht="15" hidden="false" customHeight="false" outlineLevel="0" collapsed="false">
      <c r="A30" s="3" t="s">
        <v>122</v>
      </c>
      <c r="B30" s="3" t="s">
        <v>120</v>
      </c>
      <c r="C30" s="3" t="s">
        <v>72</v>
      </c>
      <c r="D30" s="0" t="n">
        <v>416</v>
      </c>
      <c r="E30" s="0" t="n">
        <v>1782</v>
      </c>
      <c r="F30" s="0" t="n">
        <v>3306</v>
      </c>
      <c r="G30" s="0" t="n">
        <v>362</v>
      </c>
      <c r="H30" s="0" t="n">
        <v>0</v>
      </c>
      <c r="I30" s="0" t="n">
        <v>5337</v>
      </c>
      <c r="J30" s="0" t="n">
        <v>1270</v>
      </c>
    </row>
    <row r="31" customFormat="false" ht="15" hidden="false" customHeight="false" outlineLevel="0" collapsed="false">
      <c r="A31" s="3" t="s">
        <v>123</v>
      </c>
      <c r="B31" s="3" t="s">
        <v>120</v>
      </c>
      <c r="C31" s="3" t="s">
        <v>74</v>
      </c>
      <c r="D31" s="0" t="n">
        <v>454</v>
      </c>
      <c r="E31" s="0" t="n">
        <v>1909</v>
      </c>
      <c r="F31" s="0" t="n">
        <v>3377</v>
      </c>
      <c r="G31" s="0" t="n">
        <v>389</v>
      </c>
      <c r="H31" s="0" t="n">
        <v>0</v>
      </c>
      <c r="I31" s="0" t="n">
        <v>5516</v>
      </c>
      <c r="J31" s="0" t="n">
        <v>1343</v>
      </c>
    </row>
    <row r="32" customFormat="false" ht="15" hidden="false" customHeight="false" outlineLevel="0" collapsed="false">
      <c r="A32" s="3" t="s">
        <v>124</v>
      </c>
      <c r="B32" s="3" t="s">
        <v>120</v>
      </c>
      <c r="C32" s="3" t="s">
        <v>76</v>
      </c>
      <c r="D32" s="0" t="n">
        <v>452</v>
      </c>
      <c r="E32" s="0" t="n">
        <v>1865</v>
      </c>
      <c r="F32" s="0" t="n">
        <v>3266</v>
      </c>
      <c r="G32" s="0" t="n">
        <v>399</v>
      </c>
      <c r="H32" s="0" t="n">
        <v>0</v>
      </c>
      <c r="I32" s="0" t="n">
        <v>5037</v>
      </c>
      <c r="J32" s="0" t="n">
        <v>1289</v>
      </c>
    </row>
    <row r="33" customFormat="false" ht="15" hidden="false" customHeight="false" outlineLevel="0" collapsed="false">
      <c r="A33" s="3" t="s">
        <v>125</v>
      </c>
      <c r="B33" s="3" t="s">
        <v>120</v>
      </c>
      <c r="C33" s="3" t="s">
        <v>78</v>
      </c>
      <c r="D33" s="0" t="n">
        <v>498</v>
      </c>
      <c r="E33" s="0" t="n">
        <v>2040</v>
      </c>
      <c r="F33" s="0" t="n">
        <v>3598</v>
      </c>
      <c r="G33" s="0" t="n">
        <v>416</v>
      </c>
      <c r="H33" s="0" t="n">
        <v>0</v>
      </c>
      <c r="I33" s="0" t="n">
        <v>5294</v>
      </c>
      <c r="J33" s="0" t="n">
        <v>1232</v>
      </c>
    </row>
    <row r="34" customFormat="false" ht="15" hidden="false" customHeight="false" outlineLevel="0" collapsed="false">
      <c r="A34" s="3" t="s">
        <v>126</v>
      </c>
      <c r="B34" s="3" t="s">
        <v>120</v>
      </c>
      <c r="C34" s="3" t="s">
        <v>80</v>
      </c>
      <c r="D34" s="0" t="n">
        <v>532</v>
      </c>
      <c r="E34" s="0" t="n">
        <v>2283</v>
      </c>
      <c r="F34" s="0" t="n">
        <v>3769</v>
      </c>
      <c r="G34" s="0" t="n">
        <v>367</v>
      </c>
      <c r="H34" s="0" t="n">
        <v>0</v>
      </c>
      <c r="I34" s="0" t="n">
        <v>5526</v>
      </c>
      <c r="J34" s="0" t="n">
        <v>1394</v>
      </c>
    </row>
    <row r="35" customFormat="false" ht="15" hidden="false" customHeight="false" outlineLevel="0" collapsed="false">
      <c r="A35" s="3" t="s">
        <v>127</v>
      </c>
      <c r="B35" s="3" t="s">
        <v>120</v>
      </c>
      <c r="C35" s="3" t="s">
        <v>82</v>
      </c>
      <c r="D35" s="0" t="n">
        <v>443</v>
      </c>
      <c r="E35" s="0" t="n">
        <v>1903</v>
      </c>
      <c r="F35" s="0" t="n">
        <v>3212</v>
      </c>
      <c r="G35" s="0" t="n">
        <v>371</v>
      </c>
      <c r="H35" s="0" t="n">
        <v>0</v>
      </c>
      <c r="I35" s="0" t="n">
        <v>5021</v>
      </c>
      <c r="J35" s="0" t="n">
        <v>1234</v>
      </c>
    </row>
    <row r="36" customFormat="false" ht="15" hidden="false" customHeight="false" outlineLevel="0" collapsed="false">
      <c r="A36" s="3" t="s">
        <v>128</v>
      </c>
      <c r="B36" s="3" t="s">
        <v>120</v>
      </c>
      <c r="C36" s="3" t="s">
        <v>84</v>
      </c>
      <c r="D36" s="0" t="n">
        <v>480</v>
      </c>
      <c r="E36" s="0" t="n">
        <v>1979</v>
      </c>
      <c r="F36" s="0" t="n">
        <v>3321</v>
      </c>
      <c r="G36" s="0" t="n">
        <v>384</v>
      </c>
      <c r="H36" s="0" t="n">
        <v>0</v>
      </c>
      <c r="I36" s="0" t="n">
        <v>5506</v>
      </c>
      <c r="J36" s="0" t="n">
        <v>1344</v>
      </c>
    </row>
    <row r="37" customFormat="false" ht="15" hidden="false" customHeight="false" outlineLevel="0" collapsed="false">
      <c r="A37" s="3" t="s">
        <v>129</v>
      </c>
      <c r="B37" s="3" t="s">
        <v>120</v>
      </c>
      <c r="C37" s="3" t="s">
        <v>86</v>
      </c>
      <c r="D37" s="0" t="n">
        <v>441</v>
      </c>
      <c r="E37" s="0" t="n">
        <v>1871</v>
      </c>
      <c r="F37" s="0" t="n">
        <v>3316</v>
      </c>
      <c r="G37" s="0" t="n">
        <v>374</v>
      </c>
      <c r="H37" s="0" t="n">
        <v>0</v>
      </c>
      <c r="I37" s="0" t="n">
        <v>5343</v>
      </c>
      <c r="J37" s="0" t="n">
        <v>1297</v>
      </c>
    </row>
    <row r="38" customFormat="false" ht="15" hidden="false" customHeight="false" outlineLevel="0" collapsed="false">
      <c r="A38" s="3" t="s">
        <v>130</v>
      </c>
      <c r="B38" s="3" t="s">
        <v>120</v>
      </c>
      <c r="C38" s="3" t="s">
        <v>88</v>
      </c>
      <c r="D38" s="0" t="n">
        <v>462</v>
      </c>
      <c r="E38" s="0" t="n">
        <v>1912</v>
      </c>
      <c r="F38" s="0" t="n">
        <v>3456</v>
      </c>
      <c r="G38" s="0" t="n">
        <v>380</v>
      </c>
      <c r="H38" s="0" t="n">
        <v>0</v>
      </c>
      <c r="I38" s="0" t="n">
        <v>5651</v>
      </c>
      <c r="J38" s="0" t="n">
        <v>1356</v>
      </c>
    </row>
    <row r="39" customFormat="false" ht="15" hidden="false" customHeight="false" outlineLevel="0" collapsed="false">
      <c r="A39" s="3" t="s">
        <v>131</v>
      </c>
      <c r="B39" s="3" t="s">
        <v>120</v>
      </c>
      <c r="C39" s="3" t="s">
        <v>90</v>
      </c>
      <c r="D39" s="0" t="n">
        <v>447</v>
      </c>
      <c r="E39" s="0" t="n">
        <v>1908</v>
      </c>
      <c r="F39" s="0" t="n">
        <v>3357</v>
      </c>
      <c r="G39" s="0" t="n">
        <v>372</v>
      </c>
      <c r="H39" s="0" t="n">
        <v>0</v>
      </c>
      <c r="I39" s="0" t="n">
        <v>5435</v>
      </c>
      <c r="J39" s="0" t="n">
        <v>1369</v>
      </c>
    </row>
    <row r="40" customFormat="false" ht="15" hidden="false" customHeight="false" outlineLevel="0" collapsed="false">
      <c r="A40" s="3" t="s">
        <v>132</v>
      </c>
      <c r="B40" s="3" t="s">
        <v>120</v>
      </c>
      <c r="C40" s="3" t="s">
        <v>92</v>
      </c>
      <c r="D40" s="0" t="n">
        <v>488</v>
      </c>
      <c r="E40" s="0" t="n">
        <v>2100</v>
      </c>
      <c r="F40" s="0" t="n">
        <v>3541</v>
      </c>
      <c r="G40" s="0" t="n">
        <v>368</v>
      </c>
      <c r="H40" s="0" t="n">
        <v>0</v>
      </c>
      <c r="I40" s="0" t="n">
        <v>5501</v>
      </c>
      <c r="J40" s="0" t="n">
        <v>1335</v>
      </c>
    </row>
    <row r="41" customFormat="false" ht="15" hidden="false" customHeight="false" outlineLevel="0" collapsed="false">
      <c r="A41" s="3" t="s">
        <v>133</v>
      </c>
      <c r="B41" s="3" t="s">
        <v>120</v>
      </c>
      <c r="C41" s="3" t="s">
        <v>94</v>
      </c>
      <c r="D41" s="0" t="n">
        <v>460</v>
      </c>
      <c r="E41" s="0" t="n">
        <v>1948</v>
      </c>
      <c r="F41" s="0" t="n">
        <v>3713</v>
      </c>
      <c r="G41" s="0" t="n">
        <v>381</v>
      </c>
      <c r="H41" s="0" t="n">
        <v>0</v>
      </c>
      <c r="I41" s="0" t="n">
        <v>5630</v>
      </c>
      <c r="J41" s="0" t="n">
        <v>1350</v>
      </c>
    </row>
    <row r="42" customFormat="false" ht="15" hidden="false" customHeight="false" outlineLevel="0" collapsed="false">
      <c r="A42" s="3" t="s">
        <v>134</v>
      </c>
      <c r="B42" s="3" t="s">
        <v>120</v>
      </c>
      <c r="C42" s="3" t="s">
        <v>96</v>
      </c>
      <c r="D42" s="0" t="n">
        <v>414</v>
      </c>
      <c r="E42" s="0" t="n">
        <v>1723</v>
      </c>
      <c r="F42" s="0" t="n">
        <v>3428</v>
      </c>
      <c r="G42" s="0" t="n">
        <v>408</v>
      </c>
      <c r="H42" s="0" t="n">
        <v>0</v>
      </c>
      <c r="I42" s="0" t="n">
        <v>5560</v>
      </c>
      <c r="J42" s="0" t="n">
        <v>1299</v>
      </c>
    </row>
    <row r="43" customFormat="false" ht="15" hidden="false" customHeight="false" outlineLevel="0" collapsed="false">
      <c r="A43" s="3" t="s">
        <v>135</v>
      </c>
      <c r="B43" s="3" t="s">
        <v>120</v>
      </c>
      <c r="C43" s="3" t="s">
        <v>98</v>
      </c>
      <c r="D43" s="0" t="n">
        <v>526</v>
      </c>
      <c r="E43" s="0" t="n">
        <v>2178</v>
      </c>
      <c r="F43" s="0" t="n">
        <v>3579</v>
      </c>
      <c r="G43" s="0" t="n">
        <v>351</v>
      </c>
      <c r="H43" s="0" t="n">
        <v>0</v>
      </c>
      <c r="I43" s="0" t="n">
        <v>5578</v>
      </c>
      <c r="J43" s="0" t="n">
        <v>1359</v>
      </c>
    </row>
    <row r="44" customFormat="false" ht="15" hidden="false" customHeight="false" outlineLevel="0" collapsed="false">
      <c r="A44" s="3" t="s">
        <v>136</v>
      </c>
      <c r="B44" s="3" t="s">
        <v>120</v>
      </c>
      <c r="C44" s="3" t="s">
        <v>100</v>
      </c>
      <c r="D44" s="0" t="n">
        <v>466</v>
      </c>
      <c r="E44" s="0" t="n">
        <v>1891</v>
      </c>
      <c r="F44" s="0" t="n">
        <v>3396</v>
      </c>
      <c r="G44" s="0" t="n">
        <v>369</v>
      </c>
      <c r="H44" s="0" t="n">
        <v>0</v>
      </c>
      <c r="I44" s="0" t="n">
        <v>5307</v>
      </c>
      <c r="J44" s="0" t="n">
        <v>1303</v>
      </c>
    </row>
    <row r="45" customFormat="false" ht="15" hidden="false" customHeight="false" outlineLevel="0" collapsed="false">
      <c r="A45" s="3" t="s">
        <v>137</v>
      </c>
      <c r="B45" s="3" t="s">
        <v>120</v>
      </c>
      <c r="C45" s="3" t="s">
        <v>102</v>
      </c>
      <c r="D45" s="0" t="n">
        <v>554</v>
      </c>
      <c r="E45" s="0" t="n">
        <v>2277</v>
      </c>
      <c r="F45" s="0" t="n">
        <v>3681</v>
      </c>
      <c r="G45" s="0" t="n">
        <v>411</v>
      </c>
      <c r="H45" s="0" t="n">
        <v>0</v>
      </c>
      <c r="I45" s="0" t="n">
        <v>5536</v>
      </c>
      <c r="J45" s="0" t="n">
        <v>1385</v>
      </c>
    </row>
    <row r="46" customFormat="false" ht="15" hidden="false" customHeight="false" outlineLevel="0" collapsed="false">
      <c r="A46" s="3" t="s">
        <v>138</v>
      </c>
      <c r="B46" s="3" t="s">
        <v>120</v>
      </c>
      <c r="C46" s="3" t="s">
        <v>104</v>
      </c>
      <c r="D46" s="0" t="n">
        <v>538</v>
      </c>
      <c r="E46" s="0" t="n">
        <v>2275</v>
      </c>
      <c r="F46" s="0" t="n">
        <v>4168</v>
      </c>
      <c r="G46" s="0" t="n">
        <v>380</v>
      </c>
      <c r="H46" s="0" t="n">
        <v>0</v>
      </c>
      <c r="I46" s="0" t="n">
        <v>5760</v>
      </c>
      <c r="J46" s="0" t="n">
        <v>1498</v>
      </c>
    </row>
    <row r="47" customFormat="false" ht="15" hidden="false" customHeight="false" outlineLevel="0" collapsed="false">
      <c r="A47" s="3" t="s">
        <v>139</v>
      </c>
      <c r="B47" s="3" t="s">
        <v>120</v>
      </c>
      <c r="C47" s="3" t="s">
        <v>106</v>
      </c>
      <c r="D47" s="0" t="n">
        <v>473</v>
      </c>
      <c r="E47" s="0" t="n">
        <v>2001</v>
      </c>
      <c r="F47" s="0" t="n">
        <v>3481</v>
      </c>
      <c r="G47" s="0" t="n">
        <v>369</v>
      </c>
      <c r="H47" s="0" t="n">
        <v>0</v>
      </c>
      <c r="I47" s="0" t="n">
        <v>5207</v>
      </c>
      <c r="J47" s="0" t="n">
        <v>1332</v>
      </c>
    </row>
    <row r="48" customFormat="false" ht="15" hidden="false" customHeight="false" outlineLevel="0" collapsed="false">
      <c r="A48" s="3" t="s">
        <v>140</v>
      </c>
      <c r="B48" s="3" t="s">
        <v>120</v>
      </c>
      <c r="C48" s="3" t="s">
        <v>108</v>
      </c>
      <c r="D48" s="0" t="n">
        <v>494</v>
      </c>
      <c r="E48" s="0" t="n">
        <v>2047</v>
      </c>
      <c r="F48" s="0" t="n">
        <v>3574</v>
      </c>
      <c r="G48" s="0" t="n">
        <v>378</v>
      </c>
      <c r="H48" s="0" t="n">
        <v>0</v>
      </c>
      <c r="I48" s="0" t="n">
        <v>5899</v>
      </c>
      <c r="J48" s="0" t="n">
        <v>1377</v>
      </c>
    </row>
    <row r="49" customFormat="false" ht="15" hidden="false" customHeight="false" outlineLevel="0" collapsed="false">
      <c r="A49" s="3" t="s">
        <v>141</v>
      </c>
      <c r="B49" s="3" t="s">
        <v>120</v>
      </c>
      <c r="C49" s="3" t="s">
        <v>110</v>
      </c>
      <c r="D49" s="0" t="n">
        <v>470</v>
      </c>
      <c r="E49" s="0" t="n">
        <v>1958</v>
      </c>
      <c r="F49" s="0" t="n">
        <v>3388</v>
      </c>
      <c r="G49" s="0" t="n">
        <v>378</v>
      </c>
      <c r="H49" s="0" t="n">
        <v>0</v>
      </c>
      <c r="I49" s="0" t="n">
        <v>5709</v>
      </c>
      <c r="J49" s="0" t="n">
        <v>1294</v>
      </c>
    </row>
    <row r="50" customFormat="false" ht="15" hidden="false" customHeight="false" outlineLevel="0" collapsed="false">
      <c r="A50" s="3" t="s">
        <v>142</v>
      </c>
      <c r="B50" s="3" t="s">
        <v>120</v>
      </c>
      <c r="C50" s="3" t="s">
        <v>112</v>
      </c>
      <c r="D50" s="0" t="n">
        <v>533</v>
      </c>
      <c r="E50" s="0" t="n">
        <v>2200</v>
      </c>
      <c r="F50" s="0" t="n">
        <v>3629</v>
      </c>
      <c r="G50" s="0" t="n">
        <v>396</v>
      </c>
      <c r="H50" s="0" t="n">
        <v>0</v>
      </c>
      <c r="I50" s="0" t="n">
        <v>5969</v>
      </c>
      <c r="J50" s="0" t="n">
        <v>1381</v>
      </c>
    </row>
    <row r="51" customFormat="false" ht="15" hidden="false" customHeight="false" outlineLevel="0" collapsed="false">
      <c r="A51" s="3" t="s">
        <v>143</v>
      </c>
      <c r="B51" s="3" t="s">
        <v>120</v>
      </c>
      <c r="C51" s="3" t="s">
        <v>114</v>
      </c>
      <c r="D51" s="0" t="n">
        <v>477</v>
      </c>
      <c r="E51" s="0" t="n">
        <v>2018</v>
      </c>
      <c r="F51" s="0" t="n">
        <v>3534</v>
      </c>
      <c r="G51" s="0" t="n">
        <v>400</v>
      </c>
      <c r="H51" s="0" t="n">
        <v>0</v>
      </c>
      <c r="I51" s="0" t="n">
        <v>5800</v>
      </c>
      <c r="J51" s="0" t="n">
        <v>1404</v>
      </c>
    </row>
    <row r="52" customFormat="false" ht="15" hidden="false" customHeight="false" outlineLevel="0" collapsed="false">
      <c r="A52" s="3" t="s">
        <v>144</v>
      </c>
      <c r="B52" s="3" t="s">
        <v>120</v>
      </c>
      <c r="C52" s="3" t="s">
        <v>116</v>
      </c>
      <c r="D52" s="0" t="n">
        <v>494</v>
      </c>
      <c r="E52" s="0" t="n">
        <v>2022</v>
      </c>
      <c r="F52" s="0" t="n">
        <v>3813</v>
      </c>
      <c r="G52" s="0" t="n">
        <v>369</v>
      </c>
      <c r="H52" s="0" t="n">
        <v>0</v>
      </c>
      <c r="I52" s="0" t="n">
        <v>5815</v>
      </c>
      <c r="J52" s="0" t="n">
        <v>1398</v>
      </c>
    </row>
    <row r="53" customFormat="false" ht="15" hidden="false" customHeight="false" outlineLevel="0" collapsed="false">
      <c r="A53" s="3" t="s">
        <v>145</v>
      </c>
      <c r="B53" s="3" t="s">
        <v>120</v>
      </c>
      <c r="C53" s="3" t="s">
        <v>118</v>
      </c>
      <c r="D53" s="0" t="n">
        <v>512</v>
      </c>
      <c r="E53" s="0" t="n">
        <v>2107</v>
      </c>
      <c r="F53" s="0" t="n">
        <v>3864</v>
      </c>
      <c r="G53" s="0" t="n">
        <v>418</v>
      </c>
      <c r="H53" s="0" t="n">
        <v>0</v>
      </c>
      <c r="I53" s="0" t="n">
        <v>5895</v>
      </c>
      <c r="J53" s="0" t="n">
        <v>1465</v>
      </c>
    </row>
    <row r="54" customFormat="false" ht="15" hidden="false" customHeight="false" outlineLevel="0" collapsed="false">
      <c r="A54" s="3" t="s">
        <v>146</v>
      </c>
      <c r="B54" s="3" t="s">
        <v>147</v>
      </c>
      <c r="C54" s="3" t="s">
        <v>34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2329</v>
      </c>
      <c r="J54" s="0" t="n">
        <v>5613</v>
      </c>
    </row>
    <row r="55" customFormat="false" ht="15" hidden="false" customHeight="false" outlineLevel="0" collapsed="false">
      <c r="A55" s="3" t="s">
        <v>148</v>
      </c>
      <c r="B55" s="3" t="s">
        <v>147</v>
      </c>
      <c r="C55" s="3" t="s">
        <v>70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2542</v>
      </c>
      <c r="J55" s="0" t="n">
        <v>5893</v>
      </c>
    </row>
    <row r="56" customFormat="false" ht="15" hidden="false" customHeight="false" outlineLevel="0" collapsed="false">
      <c r="A56" s="3" t="s">
        <v>149</v>
      </c>
      <c r="B56" s="3" t="s">
        <v>147</v>
      </c>
      <c r="C56" s="3" t="s">
        <v>72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2467</v>
      </c>
      <c r="J56" s="0" t="n">
        <v>5882</v>
      </c>
    </row>
    <row r="57" customFormat="false" ht="15" hidden="false" customHeight="false" outlineLevel="0" collapsed="false">
      <c r="A57" s="3" t="s">
        <v>150</v>
      </c>
      <c r="B57" s="3" t="s">
        <v>147</v>
      </c>
      <c r="C57" s="3" t="s">
        <v>74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2576</v>
      </c>
      <c r="J57" s="0" t="n">
        <v>6104</v>
      </c>
    </row>
    <row r="58" customFormat="false" ht="15" hidden="false" customHeight="false" outlineLevel="0" collapsed="false">
      <c r="A58" s="3" t="s">
        <v>151</v>
      </c>
      <c r="B58" s="3" t="s">
        <v>147</v>
      </c>
      <c r="C58" s="3" t="s">
        <v>76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2388</v>
      </c>
      <c r="J58" s="0" t="n">
        <v>5767</v>
      </c>
    </row>
    <row r="59" customFormat="false" ht="15" hidden="false" customHeight="false" outlineLevel="0" collapsed="false">
      <c r="A59" s="3" t="s">
        <v>152</v>
      </c>
      <c r="B59" s="3" t="s">
        <v>147</v>
      </c>
      <c r="C59" s="3" t="s">
        <v>78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2418</v>
      </c>
      <c r="J59" s="0" t="n">
        <v>5718</v>
      </c>
    </row>
    <row r="60" customFormat="false" ht="15" hidden="false" customHeight="false" outlineLevel="0" collapsed="false">
      <c r="A60" s="3" t="s">
        <v>153</v>
      </c>
      <c r="B60" s="3" t="s">
        <v>147</v>
      </c>
      <c r="C60" s="3" t="s">
        <v>80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2519</v>
      </c>
      <c r="J60" s="0" t="n">
        <v>6603</v>
      </c>
    </row>
    <row r="61" customFormat="false" ht="15" hidden="false" customHeight="false" outlineLevel="0" collapsed="false">
      <c r="A61" s="3" t="s">
        <v>154</v>
      </c>
      <c r="B61" s="3" t="s">
        <v>147</v>
      </c>
      <c r="C61" s="3" t="s">
        <v>82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2359</v>
      </c>
      <c r="J61" s="0" t="n">
        <v>5742</v>
      </c>
    </row>
    <row r="62" customFormat="false" ht="15" hidden="false" customHeight="false" outlineLevel="0" collapsed="false">
      <c r="A62" s="3" t="s">
        <v>155</v>
      </c>
      <c r="B62" s="3" t="s">
        <v>147</v>
      </c>
      <c r="C62" s="3" t="s">
        <v>84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2585</v>
      </c>
      <c r="J62" s="0" t="n">
        <v>6057</v>
      </c>
    </row>
    <row r="63" customFormat="false" ht="15" hidden="false" customHeight="false" outlineLevel="0" collapsed="false">
      <c r="A63" s="3" t="s">
        <v>156</v>
      </c>
      <c r="B63" s="3" t="s">
        <v>147</v>
      </c>
      <c r="C63" s="3" t="s">
        <v>86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2541</v>
      </c>
      <c r="J63" s="0" t="n">
        <v>6074</v>
      </c>
    </row>
    <row r="64" customFormat="false" ht="15" hidden="false" customHeight="false" outlineLevel="0" collapsed="false">
      <c r="A64" s="3" t="s">
        <v>157</v>
      </c>
      <c r="B64" s="3" t="s">
        <v>147</v>
      </c>
      <c r="C64" s="3" t="s">
        <v>88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2698</v>
      </c>
      <c r="J64" s="0" t="n">
        <v>6070</v>
      </c>
    </row>
    <row r="65" customFormat="false" ht="15" hidden="false" customHeight="false" outlineLevel="0" collapsed="false">
      <c r="A65" s="3" t="s">
        <v>158</v>
      </c>
      <c r="B65" s="3" t="s">
        <v>147</v>
      </c>
      <c r="C65" s="3" t="s">
        <v>90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2562</v>
      </c>
      <c r="J65" s="0" t="n">
        <v>5788</v>
      </c>
    </row>
    <row r="66" customFormat="false" ht="15" hidden="false" customHeight="false" outlineLevel="0" collapsed="false">
      <c r="A66" s="3" t="s">
        <v>159</v>
      </c>
      <c r="B66" s="3" t="s">
        <v>147</v>
      </c>
      <c r="C66" s="3" t="s">
        <v>92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2513</v>
      </c>
      <c r="J66" s="0" t="n">
        <v>5945</v>
      </c>
    </row>
    <row r="67" customFormat="false" ht="15" hidden="false" customHeight="false" outlineLevel="0" collapsed="false">
      <c r="A67" s="3" t="s">
        <v>160</v>
      </c>
      <c r="B67" s="3" t="s">
        <v>147</v>
      </c>
      <c r="C67" s="3" t="s">
        <v>94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2619</v>
      </c>
      <c r="J67" s="0" t="n">
        <v>6119</v>
      </c>
    </row>
    <row r="68" customFormat="false" ht="15" hidden="false" customHeight="false" outlineLevel="0" collapsed="false">
      <c r="A68" s="3" t="s">
        <v>161</v>
      </c>
      <c r="B68" s="3" t="s">
        <v>147</v>
      </c>
      <c r="C68" s="3" t="s">
        <v>96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2527</v>
      </c>
      <c r="J68" s="0" t="n">
        <v>5874</v>
      </c>
    </row>
    <row r="69" customFormat="false" ht="15" hidden="false" customHeight="false" outlineLevel="0" collapsed="false">
      <c r="A69" s="3" t="s">
        <v>162</v>
      </c>
      <c r="B69" s="3" t="s">
        <v>147</v>
      </c>
      <c r="C69" s="3" t="s">
        <v>98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2536</v>
      </c>
      <c r="J69" s="0" t="n">
        <v>6312</v>
      </c>
    </row>
    <row r="70" customFormat="false" ht="15" hidden="false" customHeight="false" outlineLevel="0" collapsed="false">
      <c r="A70" s="3" t="s">
        <v>163</v>
      </c>
      <c r="B70" s="3" t="s">
        <v>147</v>
      </c>
      <c r="C70" s="3" t="s">
        <v>100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2502</v>
      </c>
      <c r="J70" s="0" t="n">
        <v>6135</v>
      </c>
    </row>
    <row r="71" customFormat="false" ht="15" hidden="false" customHeight="false" outlineLevel="0" collapsed="false">
      <c r="A71" s="3" t="s">
        <v>164</v>
      </c>
      <c r="B71" s="3" t="s">
        <v>147</v>
      </c>
      <c r="C71" s="3" t="s">
        <v>102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2529</v>
      </c>
      <c r="J71" s="0" t="n">
        <v>6013</v>
      </c>
    </row>
    <row r="72" customFormat="false" ht="15" hidden="false" customHeight="false" outlineLevel="0" collapsed="false">
      <c r="A72" s="3" t="s">
        <v>165</v>
      </c>
      <c r="B72" s="3" t="s">
        <v>147</v>
      </c>
      <c r="C72" s="3" t="s">
        <v>104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2597</v>
      </c>
      <c r="J72" s="0" t="n">
        <v>6586</v>
      </c>
    </row>
    <row r="73" customFormat="false" ht="15" hidden="false" customHeight="false" outlineLevel="0" collapsed="false">
      <c r="A73" s="3" t="s">
        <v>166</v>
      </c>
      <c r="B73" s="3" t="s">
        <v>147</v>
      </c>
      <c r="C73" s="3" t="s">
        <v>106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2318</v>
      </c>
      <c r="J73" s="0" t="n">
        <v>5987</v>
      </c>
    </row>
    <row r="74" customFormat="false" ht="15" hidden="false" customHeight="false" outlineLevel="0" collapsed="false">
      <c r="A74" s="3" t="s">
        <v>167</v>
      </c>
      <c r="B74" s="3" t="s">
        <v>147</v>
      </c>
      <c r="C74" s="3" t="s">
        <v>108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2694</v>
      </c>
      <c r="J74" s="0" t="n">
        <v>6252</v>
      </c>
    </row>
    <row r="75" customFormat="false" ht="15" hidden="false" customHeight="false" outlineLevel="0" collapsed="false">
      <c r="A75" s="3" t="s">
        <v>168</v>
      </c>
      <c r="B75" s="3" t="s">
        <v>147</v>
      </c>
      <c r="C75" s="3" t="s">
        <v>110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2539</v>
      </c>
      <c r="J75" s="0" t="n">
        <v>6126</v>
      </c>
    </row>
    <row r="76" customFormat="false" ht="15" hidden="false" customHeight="false" outlineLevel="0" collapsed="false">
      <c r="A76" s="3" t="s">
        <v>169</v>
      </c>
      <c r="B76" s="3" t="s">
        <v>147</v>
      </c>
      <c r="C76" s="3" t="s">
        <v>112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2696</v>
      </c>
      <c r="J76" s="0" t="n">
        <v>6391</v>
      </c>
    </row>
    <row r="77" customFormat="false" ht="15" hidden="false" customHeight="false" outlineLevel="0" collapsed="false">
      <c r="A77" s="3" t="s">
        <v>170</v>
      </c>
      <c r="B77" s="3" t="s">
        <v>147</v>
      </c>
      <c r="C77" s="3" t="s">
        <v>114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2670</v>
      </c>
      <c r="J77" s="0" t="n">
        <v>6123</v>
      </c>
    </row>
    <row r="78" customFormat="false" ht="15" hidden="false" customHeight="false" outlineLevel="0" collapsed="false">
      <c r="A78" s="3" t="s">
        <v>171</v>
      </c>
      <c r="B78" s="3" t="s">
        <v>147</v>
      </c>
      <c r="C78" s="3" t="s">
        <v>116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2445</v>
      </c>
      <c r="J78" s="0" t="n">
        <v>6146</v>
      </c>
    </row>
    <row r="79" customFormat="false" ht="15" hidden="false" customHeight="false" outlineLevel="0" collapsed="false">
      <c r="A79" s="3" t="s">
        <v>172</v>
      </c>
      <c r="B79" s="3" t="s">
        <v>147</v>
      </c>
      <c r="C79" s="3" t="s">
        <v>118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2657</v>
      </c>
      <c r="J79" s="0" t="n">
        <v>6356</v>
      </c>
    </row>
    <row r="80" customFormat="false" ht="23.85" hidden="false" customHeight="false" outlineLevel="0" collapsed="false">
      <c r="A80" s="3" t="s">
        <v>173</v>
      </c>
      <c r="B80" s="3" t="s">
        <v>174</v>
      </c>
      <c r="C80" s="3" t="s">
        <v>34</v>
      </c>
      <c r="D80" s="0" t="n">
        <v>0</v>
      </c>
      <c r="E80" s="0" t="n">
        <v>0</v>
      </c>
      <c r="F80" s="0" t="n">
        <v>0</v>
      </c>
      <c r="G80" s="0" t="n">
        <v>438</v>
      </c>
      <c r="H80" s="0" t="n">
        <v>0</v>
      </c>
      <c r="I80" s="0" t="n">
        <v>0</v>
      </c>
      <c r="J80" s="0" t="n">
        <v>0</v>
      </c>
    </row>
    <row r="81" customFormat="false" ht="23.85" hidden="false" customHeight="false" outlineLevel="0" collapsed="false">
      <c r="A81" s="3" t="s">
        <v>175</v>
      </c>
      <c r="B81" s="3" t="s">
        <v>174</v>
      </c>
      <c r="C81" s="3" t="s">
        <v>70</v>
      </c>
      <c r="D81" s="0" t="n">
        <v>0</v>
      </c>
      <c r="E81" s="0" t="n">
        <v>0</v>
      </c>
      <c r="F81" s="0" t="n">
        <v>0</v>
      </c>
      <c r="G81" s="0" t="n">
        <v>515</v>
      </c>
      <c r="H81" s="0" t="n">
        <v>0</v>
      </c>
      <c r="I81" s="0" t="n">
        <v>0</v>
      </c>
      <c r="J81" s="0" t="n">
        <v>0</v>
      </c>
    </row>
    <row r="82" customFormat="false" ht="23.85" hidden="false" customHeight="false" outlineLevel="0" collapsed="false">
      <c r="A82" s="3" t="s">
        <v>176</v>
      </c>
      <c r="B82" s="3" t="s">
        <v>174</v>
      </c>
      <c r="C82" s="3" t="s">
        <v>72</v>
      </c>
      <c r="D82" s="0" t="n">
        <v>0</v>
      </c>
      <c r="E82" s="0" t="n">
        <v>0</v>
      </c>
      <c r="F82" s="0" t="n">
        <v>0</v>
      </c>
      <c r="G82" s="0" t="n">
        <v>490</v>
      </c>
      <c r="H82" s="0" t="n">
        <v>0</v>
      </c>
      <c r="I82" s="0" t="n">
        <v>0</v>
      </c>
      <c r="J82" s="0" t="n">
        <v>0</v>
      </c>
    </row>
    <row r="83" customFormat="false" ht="23.85" hidden="false" customHeight="false" outlineLevel="0" collapsed="false">
      <c r="A83" s="3" t="s">
        <v>177</v>
      </c>
      <c r="B83" s="3" t="s">
        <v>174</v>
      </c>
      <c r="C83" s="3" t="s">
        <v>74</v>
      </c>
      <c r="D83" s="0" t="n">
        <v>0</v>
      </c>
      <c r="E83" s="0" t="n">
        <v>0</v>
      </c>
      <c r="F83" s="0" t="n">
        <v>0</v>
      </c>
      <c r="G83" s="0" t="n">
        <v>594</v>
      </c>
      <c r="H83" s="0" t="n">
        <v>0</v>
      </c>
      <c r="I83" s="0" t="n">
        <v>0</v>
      </c>
      <c r="J83" s="0" t="n">
        <v>0</v>
      </c>
    </row>
    <row r="84" customFormat="false" ht="23.85" hidden="false" customHeight="false" outlineLevel="0" collapsed="false">
      <c r="A84" s="3" t="s">
        <v>178</v>
      </c>
      <c r="B84" s="3" t="s">
        <v>174</v>
      </c>
      <c r="C84" s="3" t="s">
        <v>76</v>
      </c>
      <c r="D84" s="0" t="n">
        <v>0</v>
      </c>
      <c r="E84" s="0" t="n">
        <v>0</v>
      </c>
      <c r="F84" s="0" t="n">
        <v>0</v>
      </c>
      <c r="G84" s="0" t="n">
        <v>489</v>
      </c>
      <c r="H84" s="0" t="n">
        <v>0</v>
      </c>
      <c r="I84" s="0" t="n">
        <v>0</v>
      </c>
      <c r="J84" s="0" t="n">
        <v>0</v>
      </c>
    </row>
    <row r="85" customFormat="false" ht="23.85" hidden="false" customHeight="false" outlineLevel="0" collapsed="false">
      <c r="A85" s="3" t="s">
        <v>179</v>
      </c>
      <c r="B85" s="3" t="s">
        <v>174</v>
      </c>
      <c r="C85" s="3" t="s">
        <v>78</v>
      </c>
      <c r="D85" s="0" t="n">
        <v>0</v>
      </c>
      <c r="E85" s="0" t="n">
        <v>0</v>
      </c>
      <c r="F85" s="0" t="n">
        <v>0</v>
      </c>
      <c r="G85" s="0" t="n">
        <v>546</v>
      </c>
      <c r="H85" s="0" t="n">
        <v>0</v>
      </c>
      <c r="I85" s="0" t="n">
        <v>0</v>
      </c>
      <c r="J85" s="0" t="n">
        <v>0</v>
      </c>
    </row>
    <row r="86" customFormat="false" ht="23.85" hidden="false" customHeight="false" outlineLevel="0" collapsed="false">
      <c r="A86" s="3" t="s">
        <v>180</v>
      </c>
      <c r="B86" s="3" t="s">
        <v>174</v>
      </c>
      <c r="C86" s="3" t="s">
        <v>80</v>
      </c>
      <c r="D86" s="0" t="n">
        <v>0</v>
      </c>
      <c r="E86" s="0" t="n">
        <v>0</v>
      </c>
      <c r="F86" s="0" t="n">
        <v>0</v>
      </c>
      <c r="G86" s="0" t="n">
        <v>544</v>
      </c>
      <c r="H86" s="0" t="n">
        <v>0</v>
      </c>
      <c r="I86" s="0" t="n">
        <v>0</v>
      </c>
      <c r="J86" s="0" t="n">
        <v>0</v>
      </c>
    </row>
    <row r="87" customFormat="false" ht="23.85" hidden="false" customHeight="false" outlineLevel="0" collapsed="false">
      <c r="A87" s="3" t="s">
        <v>181</v>
      </c>
      <c r="B87" s="3" t="s">
        <v>174</v>
      </c>
      <c r="C87" s="3" t="s">
        <v>82</v>
      </c>
      <c r="D87" s="0" t="n">
        <v>0</v>
      </c>
      <c r="E87" s="0" t="n">
        <v>0</v>
      </c>
      <c r="F87" s="0" t="n">
        <v>0</v>
      </c>
      <c r="G87" s="0" t="n">
        <v>503</v>
      </c>
      <c r="H87" s="0" t="n">
        <v>0</v>
      </c>
      <c r="I87" s="0" t="n">
        <v>0</v>
      </c>
      <c r="J87" s="0" t="n">
        <v>0</v>
      </c>
    </row>
    <row r="88" customFormat="false" ht="23.85" hidden="false" customHeight="false" outlineLevel="0" collapsed="false">
      <c r="A88" s="3" t="s">
        <v>182</v>
      </c>
      <c r="B88" s="3" t="s">
        <v>174</v>
      </c>
      <c r="C88" s="3" t="s">
        <v>84</v>
      </c>
      <c r="D88" s="0" t="n">
        <v>0</v>
      </c>
      <c r="E88" s="0" t="n">
        <v>0</v>
      </c>
      <c r="F88" s="0" t="n">
        <v>0</v>
      </c>
      <c r="G88" s="0" t="n">
        <v>529</v>
      </c>
      <c r="H88" s="0" t="n">
        <v>0</v>
      </c>
      <c r="I88" s="0" t="n">
        <v>0</v>
      </c>
      <c r="J88" s="0" t="n">
        <v>0</v>
      </c>
    </row>
    <row r="89" customFormat="false" ht="23.85" hidden="false" customHeight="false" outlineLevel="0" collapsed="false">
      <c r="A89" s="3" t="s">
        <v>183</v>
      </c>
      <c r="B89" s="3" t="s">
        <v>174</v>
      </c>
      <c r="C89" s="3" t="s">
        <v>86</v>
      </c>
      <c r="D89" s="0" t="n">
        <v>0</v>
      </c>
      <c r="E89" s="0" t="n">
        <v>0</v>
      </c>
      <c r="F89" s="0" t="n">
        <v>0</v>
      </c>
      <c r="G89" s="0" t="n">
        <v>498</v>
      </c>
      <c r="H89" s="0" t="n">
        <v>0</v>
      </c>
      <c r="I89" s="0" t="n">
        <v>0</v>
      </c>
      <c r="J89" s="0" t="n">
        <v>0</v>
      </c>
    </row>
    <row r="90" customFormat="false" ht="23.85" hidden="false" customHeight="false" outlineLevel="0" collapsed="false">
      <c r="A90" s="3" t="s">
        <v>184</v>
      </c>
      <c r="B90" s="3" t="s">
        <v>174</v>
      </c>
      <c r="C90" s="3" t="s">
        <v>88</v>
      </c>
      <c r="D90" s="0" t="n">
        <v>0</v>
      </c>
      <c r="E90" s="0" t="n">
        <v>0</v>
      </c>
      <c r="F90" s="0" t="n">
        <v>0</v>
      </c>
      <c r="G90" s="0" t="n">
        <v>520</v>
      </c>
      <c r="H90" s="0" t="n">
        <v>0</v>
      </c>
      <c r="I90" s="0" t="n">
        <v>0</v>
      </c>
      <c r="J90" s="0" t="n">
        <v>0</v>
      </c>
    </row>
    <row r="91" customFormat="false" ht="23.85" hidden="false" customHeight="false" outlineLevel="0" collapsed="false">
      <c r="A91" s="3" t="s">
        <v>185</v>
      </c>
      <c r="B91" s="3" t="s">
        <v>174</v>
      </c>
      <c r="C91" s="3" t="s">
        <v>90</v>
      </c>
      <c r="D91" s="0" t="n">
        <v>0</v>
      </c>
      <c r="E91" s="0" t="n">
        <v>0</v>
      </c>
      <c r="F91" s="0" t="n">
        <v>0</v>
      </c>
      <c r="G91" s="0" t="n">
        <v>536</v>
      </c>
      <c r="H91" s="0" t="n">
        <v>0</v>
      </c>
      <c r="I91" s="0" t="n">
        <v>0</v>
      </c>
      <c r="J91" s="0" t="n">
        <v>0</v>
      </c>
    </row>
    <row r="92" customFormat="false" ht="23.85" hidden="false" customHeight="false" outlineLevel="0" collapsed="false">
      <c r="A92" s="3" t="s">
        <v>186</v>
      </c>
      <c r="B92" s="3" t="s">
        <v>174</v>
      </c>
      <c r="C92" s="3" t="s">
        <v>92</v>
      </c>
      <c r="D92" s="0" t="n">
        <v>0</v>
      </c>
      <c r="E92" s="0" t="n">
        <v>0</v>
      </c>
      <c r="F92" s="0" t="n">
        <v>0</v>
      </c>
      <c r="G92" s="0" t="n">
        <v>482</v>
      </c>
      <c r="H92" s="0" t="n">
        <v>0</v>
      </c>
      <c r="I92" s="0" t="n">
        <v>0</v>
      </c>
      <c r="J92" s="0" t="n">
        <v>0</v>
      </c>
    </row>
    <row r="93" customFormat="false" ht="23.85" hidden="false" customHeight="false" outlineLevel="0" collapsed="false">
      <c r="A93" s="3" t="s">
        <v>187</v>
      </c>
      <c r="B93" s="3" t="s">
        <v>174</v>
      </c>
      <c r="C93" s="3" t="s">
        <v>94</v>
      </c>
      <c r="D93" s="0" t="n">
        <v>0</v>
      </c>
      <c r="E93" s="0" t="n">
        <v>0</v>
      </c>
      <c r="F93" s="0" t="n">
        <v>0</v>
      </c>
      <c r="G93" s="0" t="n">
        <v>526</v>
      </c>
      <c r="H93" s="0" t="n">
        <v>0</v>
      </c>
      <c r="I93" s="0" t="n">
        <v>0</v>
      </c>
      <c r="J93" s="0" t="n">
        <v>0</v>
      </c>
    </row>
    <row r="94" customFormat="false" ht="23.85" hidden="false" customHeight="false" outlineLevel="0" collapsed="false">
      <c r="A94" s="3" t="s">
        <v>188</v>
      </c>
      <c r="B94" s="3" t="s">
        <v>174</v>
      </c>
      <c r="C94" s="3" t="s">
        <v>96</v>
      </c>
      <c r="D94" s="0" t="n">
        <v>0</v>
      </c>
      <c r="E94" s="0" t="n">
        <v>0</v>
      </c>
      <c r="F94" s="0" t="n">
        <v>0</v>
      </c>
      <c r="G94" s="0" t="n">
        <v>475</v>
      </c>
      <c r="H94" s="0" t="n">
        <v>0</v>
      </c>
      <c r="I94" s="0" t="n">
        <v>0</v>
      </c>
      <c r="J94" s="0" t="n">
        <v>0</v>
      </c>
    </row>
    <row r="95" customFormat="false" ht="23.85" hidden="false" customHeight="false" outlineLevel="0" collapsed="false">
      <c r="A95" s="3" t="s">
        <v>189</v>
      </c>
      <c r="B95" s="3" t="s">
        <v>174</v>
      </c>
      <c r="C95" s="3" t="s">
        <v>98</v>
      </c>
      <c r="D95" s="0" t="n">
        <v>0</v>
      </c>
      <c r="E95" s="0" t="n">
        <v>0</v>
      </c>
      <c r="F95" s="0" t="n">
        <v>0</v>
      </c>
      <c r="G95" s="0" t="n">
        <v>538</v>
      </c>
      <c r="H95" s="0" t="n">
        <v>0</v>
      </c>
      <c r="I95" s="0" t="n">
        <v>0</v>
      </c>
      <c r="J95" s="0" t="n">
        <v>0</v>
      </c>
    </row>
    <row r="96" customFormat="false" ht="23.85" hidden="false" customHeight="false" outlineLevel="0" collapsed="false">
      <c r="A96" s="3" t="s">
        <v>190</v>
      </c>
      <c r="B96" s="3" t="s">
        <v>174</v>
      </c>
      <c r="C96" s="3" t="s">
        <v>100</v>
      </c>
      <c r="D96" s="0" t="n">
        <v>0</v>
      </c>
      <c r="E96" s="0" t="n">
        <v>0</v>
      </c>
      <c r="F96" s="0" t="n">
        <v>0</v>
      </c>
      <c r="G96" s="0" t="n">
        <v>501</v>
      </c>
      <c r="H96" s="0" t="n">
        <v>0</v>
      </c>
      <c r="I96" s="0" t="n">
        <v>0</v>
      </c>
      <c r="J96" s="0" t="n">
        <v>0</v>
      </c>
    </row>
    <row r="97" customFormat="false" ht="23.85" hidden="false" customHeight="false" outlineLevel="0" collapsed="false">
      <c r="A97" s="3" t="s">
        <v>191</v>
      </c>
      <c r="B97" s="3" t="s">
        <v>174</v>
      </c>
      <c r="C97" s="3" t="s">
        <v>102</v>
      </c>
      <c r="D97" s="0" t="n">
        <v>0</v>
      </c>
      <c r="E97" s="0" t="n">
        <v>0</v>
      </c>
      <c r="F97" s="0" t="n">
        <v>0</v>
      </c>
      <c r="G97" s="0" t="n">
        <v>554</v>
      </c>
      <c r="H97" s="0" t="n">
        <v>0</v>
      </c>
      <c r="I97" s="0" t="n">
        <v>0</v>
      </c>
      <c r="J97" s="0" t="n">
        <v>0</v>
      </c>
    </row>
    <row r="98" customFormat="false" ht="23.85" hidden="false" customHeight="false" outlineLevel="0" collapsed="false">
      <c r="A98" s="3" t="s">
        <v>192</v>
      </c>
      <c r="B98" s="3" t="s">
        <v>174</v>
      </c>
      <c r="C98" s="3" t="s">
        <v>104</v>
      </c>
      <c r="D98" s="0" t="n">
        <v>0</v>
      </c>
      <c r="E98" s="0" t="n">
        <v>0</v>
      </c>
      <c r="F98" s="0" t="n">
        <v>0</v>
      </c>
      <c r="G98" s="0" t="n">
        <v>552</v>
      </c>
      <c r="H98" s="0" t="n">
        <v>0</v>
      </c>
      <c r="I98" s="0" t="n">
        <v>0</v>
      </c>
      <c r="J98" s="0" t="n">
        <v>0</v>
      </c>
    </row>
    <row r="99" customFormat="false" ht="23.85" hidden="false" customHeight="false" outlineLevel="0" collapsed="false">
      <c r="A99" s="3" t="s">
        <v>193</v>
      </c>
      <c r="B99" s="3" t="s">
        <v>174</v>
      </c>
      <c r="C99" s="3" t="s">
        <v>106</v>
      </c>
      <c r="D99" s="0" t="n">
        <v>0</v>
      </c>
      <c r="E99" s="0" t="n">
        <v>0</v>
      </c>
      <c r="F99" s="0" t="n">
        <v>0</v>
      </c>
      <c r="G99" s="0" t="n">
        <v>480</v>
      </c>
      <c r="H99" s="0" t="n">
        <v>0</v>
      </c>
      <c r="I99" s="0" t="n">
        <v>0</v>
      </c>
      <c r="J99" s="0" t="n">
        <v>0</v>
      </c>
    </row>
    <row r="100" customFormat="false" ht="23.85" hidden="false" customHeight="false" outlineLevel="0" collapsed="false">
      <c r="A100" s="3" t="s">
        <v>194</v>
      </c>
      <c r="B100" s="3" t="s">
        <v>174</v>
      </c>
      <c r="C100" s="3" t="s">
        <v>108</v>
      </c>
      <c r="D100" s="0" t="n">
        <v>0</v>
      </c>
      <c r="E100" s="0" t="n">
        <v>0</v>
      </c>
      <c r="F100" s="0" t="n">
        <v>0</v>
      </c>
      <c r="G100" s="0" t="n">
        <v>560</v>
      </c>
      <c r="H100" s="0" t="n">
        <v>0</v>
      </c>
      <c r="I100" s="0" t="n">
        <v>0</v>
      </c>
      <c r="J100" s="0" t="n">
        <v>0</v>
      </c>
    </row>
    <row r="101" customFormat="false" ht="23.85" hidden="false" customHeight="false" outlineLevel="0" collapsed="false">
      <c r="A101" s="3" t="s">
        <v>195</v>
      </c>
      <c r="B101" s="3" t="s">
        <v>174</v>
      </c>
      <c r="C101" s="3" t="s">
        <v>110</v>
      </c>
      <c r="D101" s="0" t="n">
        <v>0</v>
      </c>
      <c r="E101" s="0" t="n">
        <v>0</v>
      </c>
      <c r="F101" s="0" t="n">
        <v>0</v>
      </c>
      <c r="G101" s="0" t="n">
        <v>530</v>
      </c>
      <c r="H101" s="0" t="n">
        <v>0</v>
      </c>
      <c r="I101" s="0" t="n">
        <v>0</v>
      </c>
      <c r="J101" s="0" t="n">
        <v>0</v>
      </c>
    </row>
    <row r="102" customFormat="false" ht="23.85" hidden="false" customHeight="false" outlineLevel="0" collapsed="false">
      <c r="A102" s="3" t="s">
        <v>196</v>
      </c>
      <c r="B102" s="3" t="s">
        <v>174</v>
      </c>
      <c r="C102" s="3" t="s">
        <v>112</v>
      </c>
      <c r="D102" s="0" t="n">
        <v>0</v>
      </c>
      <c r="E102" s="0" t="n">
        <v>0</v>
      </c>
      <c r="F102" s="0" t="n">
        <v>0</v>
      </c>
      <c r="G102" s="0" t="n">
        <v>542</v>
      </c>
      <c r="H102" s="0" t="n">
        <v>0</v>
      </c>
      <c r="I102" s="0" t="n">
        <v>0</v>
      </c>
      <c r="J102" s="0" t="n">
        <v>0</v>
      </c>
    </row>
    <row r="103" customFormat="false" ht="23.85" hidden="false" customHeight="false" outlineLevel="0" collapsed="false">
      <c r="A103" s="3" t="s">
        <v>197</v>
      </c>
      <c r="B103" s="3" t="s">
        <v>174</v>
      </c>
      <c r="C103" s="3" t="s">
        <v>114</v>
      </c>
      <c r="D103" s="0" t="n">
        <v>0</v>
      </c>
      <c r="E103" s="0" t="n">
        <v>0</v>
      </c>
      <c r="F103" s="0" t="n">
        <v>0</v>
      </c>
      <c r="G103" s="0" t="n">
        <v>512</v>
      </c>
      <c r="H103" s="0" t="n">
        <v>0</v>
      </c>
      <c r="I103" s="0" t="n">
        <v>0</v>
      </c>
      <c r="J103" s="0" t="n">
        <v>0</v>
      </c>
    </row>
    <row r="104" customFormat="false" ht="23.85" hidden="false" customHeight="false" outlineLevel="0" collapsed="false">
      <c r="A104" s="3" t="s">
        <v>198</v>
      </c>
      <c r="B104" s="3" t="s">
        <v>174</v>
      </c>
      <c r="C104" s="3" t="s">
        <v>116</v>
      </c>
      <c r="D104" s="0" t="n">
        <v>0</v>
      </c>
      <c r="E104" s="0" t="n">
        <v>0</v>
      </c>
      <c r="F104" s="0" t="n">
        <v>0</v>
      </c>
      <c r="G104" s="0" t="n">
        <v>512</v>
      </c>
      <c r="H104" s="0" t="n">
        <v>0</v>
      </c>
      <c r="I104" s="0" t="n">
        <v>0</v>
      </c>
      <c r="J104" s="0" t="n">
        <v>0</v>
      </c>
    </row>
    <row r="105" customFormat="false" ht="23.85" hidden="false" customHeight="false" outlineLevel="0" collapsed="false">
      <c r="A105" s="3" t="s">
        <v>199</v>
      </c>
      <c r="B105" s="3" t="s">
        <v>174</v>
      </c>
      <c r="C105" s="3" t="s">
        <v>118</v>
      </c>
      <c r="D105" s="0" t="n">
        <v>0</v>
      </c>
      <c r="E105" s="0" t="n">
        <v>0</v>
      </c>
      <c r="F105" s="0" t="n">
        <v>0</v>
      </c>
      <c r="G105" s="0" t="n">
        <v>537</v>
      </c>
      <c r="H105" s="0" t="n">
        <v>0</v>
      </c>
      <c r="I105" s="0" t="n">
        <v>0</v>
      </c>
      <c r="J105" s="0" t="n">
        <v>0</v>
      </c>
    </row>
    <row r="106" customFormat="false" ht="15" hidden="false" customHeight="false" outlineLevel="0" collapsed="false">
      <c r="A106" s="3" t="s">
        <v>200</v>
      </c>
      <c r="B106" s="3" t="s">
        <v>201</v>
      </c>
      <c r="C106" s="3" t="s">
        <v>34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3177</v>
      </c>
      <c r="J106" s="0" t="n">
        <v>1311</v>
      </c>
    </row>
    <row r="107" customFormat="false" ht="15" hidden="false" customHeight="false" outlineLevel="0" collapsed="false">
      <c r="A107" s="3" t="s">
        <v>202</v>
      </c>
      <c r="B107" s="3" t="s">
        <v>201</v>
      </c>
      <c r="C107" s="3" t="s">
        <v>70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3486</v>
      </c>
      <c r="J107" s="0" t="n">
        <v>1529</v>
      </c>
    </row>
    <row r="108" customFormat="false" ht="15" hidden="false" customHeight="false" outlineLevel="0" collapsed="false">
      <c r="A108" s="3" t="s">
        <v>203</v>
      </c>
      <c r="B108" s="3" t="s">
        <v>201</v>
      </c>
      <c r="C108" s="3" t="s">
        <v>72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3369</v>
      </c>
      <c r="J108" s="0" t="n">
        <v>1473</v>
      </c>
    </row>
    <row r="109" customFormat="false" ht="15" hidden="false" customHeight="false" outlineLevel="0" collapsed="false">
      <c r="A109" s="3" t="s">
        <v>204</v>
      </c>
      <c r="B109" s="3" t="s">
        <v>201</v>
      </c>
      <c r="C109" s="3" t="s">
        <v>74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3467</v>
      </c>
      <c r="J109" s="0" t="n">
        <v>1426</v>
      </c>
    </row>
    <row r="110" customFormat="false" ht="15" hidden="false" customHeight="false" outlineLevel="0" collapsed="false">
      <c r="A110" s="3" t="s">
        <v>205</v>
      </c>
      <c r="B110" s="3" t="s">
        <v>201</v>
      </c>
      <c r="C110" s="3" t="s">
        <v>76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3275</v>
      </c>
      <c r="J110" s="0" t="n">
        <v>1520</v>
      </c>
    </row>
    <row r="111" customFormat="false" ht="15" hidden="false" customHeight="false" outlineLevel="0" collapsed="false">
      <c r="A111" s="3" t="s">
        <v>206</v>
      </c>
      <c r="B111" s="3" t="s">
        <v>201</v>
      </c>
      <c r="C111" s="3" t="s">
        <v>78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3446</v>
      </c>
      <c r="J111" s="0" t="n">
        <v>1409</v>
      </c>
    </row>
    <row r="112" customFormat="false" ht="15" hidden="false" customHeight="false" outlineLevel="0" collapsed="false">
      <c r="A112" s="3" t="s">
        <v>207</v>
      </c>
      <c r="B112" s="3" t="s">
        <v>201</v>
      </c>
      <c r="C112" s="3" t="s">
        <v>80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3493</v>
      </c>
      <c r="J112" s="0" t="n">
        <v>1592</v>
      </c>
    </row>
    <row r="113" customFormat="false" ht="15" hidden="false" customHeight="false" outlineLevel="0" collapsed="false">
      <c r="A113" s="3" t="s">
        <v>208</v>
      </c>
      <c r="B113" s="3" t="s">
        <v>201</v>
      </c>
      <c r="C113" s="3" t="s">
        <v>82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3330</v>
      </c>
      <c r="J113" s="0" t="n">
        <v>1414</v>
      </c>
    </row>
    <row r="114" customFormat="false" ht="15" hidden="false" customHeight="false" outlineLevel="0" collapsed="false">
      <c r="A114" s="3" t="s">
        <v>209</v>
      </c>
      <c r="B114" s="3" t="s">
        <v>201</v>
      </c>
      <c r="C114" s="3" t="s">
        <v>84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3607</v>
      </c>
      <c r="J114" s="0" t="n">
        <v>1500</v>
      </c>
    </row>
    <row r="115" customFormat="false" ht="15" hidden="false" customHeight="false" outlineLevel="0" collapsed="false">
      <c r="A115" s="3" t="s">
        <v>210</v>
      </c>
      <c r="B115" s="3" t="s">
        <v>201</v>
      </c>
      <c r="C115" s="3" t="s">
        <v>86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3590</v>
      </c>
      <c r="J115" s="0" t="n">
        <v>1518</v>
      </c>
    </row>
    <row r="116" customFormat="false" ht="15" hidden="false" customHeight="false" outlineLevel="0" collapsed="false">
      <c r="A116" s="3" t="s">
        <v>211</v>
      </c>
      <c r="B116" s="3" t="s">
        <v>201</v>
      </c>
      <c r="C116" s="3" t="s">
        <v>88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3571</v>
      </c>
      <c r="J116" s="0" t="n">
        <v>1593</v>
      </c>
    </row>
    <row r="117" customFormat="false" ht="15" hidden="false" customHeight="false" outlineLevel="0" collapsed="false">
      <c r="A117" s="3" t="s">
        <v>212</v>
      </c>
      <c r="B117" s="3" t="s">
        <v>201</v>
      </c>
      <c r="C117" s="3" t="s">
        <v>90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3561</v>
      </c>
      <c r="J117" s="0" t="n">
        <v>1478</v>
      </c>
    </row>
    <row r="118" customFormat="false" ht="15" hidden="false" customHeight="false" outlineLevel="0" collapsed="false">
      <c r="A118" s="3" t="s">
        <v>213</v>
      </c>
      <c r="B118" s="3" t="s">
        <v>201</v>
      </c>
      <c r="C118" s="3" t="s">
        <v>92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3684</v>
      </c>
      <c r="J118" s="0" t="n">
        <v>1495</v>
      </c>
    </row>
    <row r="119" customFormat="false" ht="15" hidden="false" customHeight="false" outlineLevel="0" collapsed="false">
      <c r="A119" s="3" t="s">
        <v>214</v>
      </c>
      <c r="B119" s="3" t="s">
        <v>201</v>
      </c>
      <c r="C119" s="3" t="s">
        <v>94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3710</v>
      </c>
      <c r="J119" s="0" t="n">
        <v>1625</v>
      </c>
    </row>
    <row r="120" customFormat="false" ht="15" hidden="false" customHeight="false" outlineLevel="0" collapsed="false">
      <c r="A120" s="3" t="s">
        <v>215</v>
      </c>
      <c r="B120" s="3" t="s">
        <v>201</v>
      </c>
      <c r="C120" s="3" t="s">
        <v>96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3638</v>
      </c>
      <c r="J120" s="0" t="n">
        <v>1494</v>
      </c>
    </row>
    <row r="121" customFormat="false" ht="15" hidden="false" customHeight="false" outlineLevel="0" collapsed="false">
      <c r="A121" s="3" t="s">
        <v>216</v>
      </c>
      <c r="B121" s="3" t="s">
        <v>201</v>
      </c>
      <c r="C121" s="3" t="s">
        <v>98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3716</v>
      </c>
      <c r="J121" s="0" t="n">
        <v>1592</v>
      </c>
    </row>
    <row r="122" customFormat="false" ht="15" hidden="false" customHeight="false" outlineLevel="0" collapsed="false">
      <c r="A122" s="3" t="s">
        <v>217</v>
      </c>
      <c r="B122" s="3" t="s">
        <v>201</v>
      </c>
      <c r="C122" s="3" t="s">
        <v>100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3532</v>
      </c>
      <c r="J122" s="0" t="n">
        <v>1550</v>
      </c>
    </row>
    <row r="123" customFormat="false" ht="15" hidden="false" customHeight="false" outlineLevel="0" collapsed="false">
      <c r="A123" s="3" t="s">
        <v>218</v>
      </c>
      <c r="B123" s="3" t="s">
        <v>201</v>
      </c>
      <c r="C123" s="3" t="s">
        <v>102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3633</v>
      </c>
      <c r="J123" s="0" t="n">
        <v>1527</v>
      </c>
    </row>
    <row r="124" customFormat="false" ht="15" hidden="false" customHeight="false" outlineLevel="0" collapsed="false">
      <c r="A124" s="3" t="s">
        <v>219</v>
      </c>
      <c r="B124" s="3" t="s">
        <v>201</v>
      </c>
      <c r="C124" s="3" t="s">
        <v>104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3807</v>
      </c>
      <c r="J124" s="0" t="n">
        <v>1769</v>
      </c>
    </row>
    <row r="125" customFormat="false" ht="15" hidden="false" customHeight="false" outlineLevel="0" collapsed="false">
      <c r="A125" s="3" t="s">
        <v>220</v>
      </c>
      <c r="B125" s="3" t="s">
        <v>201</v>
      </c>
      <c r="C125" s="3" t="s">
        <v>106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3495</v>
      </c>
      <c r="J125" s="0" t="n">
        <v>1526</v>
      </c>
    </row>
    <row r="126" customFormat="false" ht="15" hidden="false" customHeight="false" outlineLevel="0" collapsed="false">
      <c r="A126" s="3" t="s">
        <v>221</v>
      </c>
      <c r="B126" s="3" t="s">
        <v>201</v>
      </c>
      <c r="C126" s="3" t="s">
        <v>108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3880</v>
      </c>
      <c r="J126" s="0" t="n">
        <v>1658</v>
      </c>
    </row>
    <row r="127" customFormat="false" ht="15" hidden="false" customHeight="false" outlineLevel="0" collapsed="false">
      <c r="A127" s="3" t="s">
        <v>222</v>
      </c>
      <c r="B127" s="3" t="s">
        <v>201</v>
      </c>
      <c r="C127" s="3" t="s">
        <v>110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3901</v>
      </c>
      <c r="J127" s="0" t="n">
        <v>1618</v>
      </c>
    </row>
    <row r="128" customFormat="false" ht="15" hidden="false" customHeight="false" outlineLevel="0" collapsed="false">
      <c r="A128" s="3" t="s">
        <v>223</v>
      </c>
      <c r="B128" s="3" t="s">
        <v>201</v>
      </c>
      <c r="C128" s="3" t="s">
        <v>112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3951</v>
      </c>
      <c r="J128" s="0" t="n">
        <v>1705</v>
      </c>
    </row>
    <row r="129" customFormat="false" ht="15" hidden="false" customHeight="false" outlineLevel="0" collapsed="false">
      <c r="A129" s="3" t="s">
        <v>224</v>
      </c>
      <c r="B129" s="3" t="s">
        <v>201</v>
      </c>
      <c r="C129" s="3" t="s">
        <v>114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3878</v>
      </c>
      <c r="J129" s="0" t="n">
        <v>1659</v>
      </c>
    </row>
    <row r="130" customFormat="false" ht="15" hidden="false" customHeight="false" outlineLevel="0" collapsed="false">
      <c r="A130" s="3" t="s">
        <v>225</v>
      </c>
      <c r="B130" s="3" t="s">
        <v>201</v>
      </c>
      <c r="C130" s="3" t="s">
        <v>116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3817</v>
      </c>
      <c r="J130" s="0" t="n">
        <v>1696</v>
      </c>
    </row>
    <row r="131" customFormat="false" ht="15" hidden="false" customHeight="false" outlineLevel="0" collapsed="false">
      <c r="A131" s="3" t="s">
        <v>226</v>
      </c>
      <c r="B131" s="3" t="s">
        <v>201</v>
      </c>
      <c r="C131" s="3" t="s">
        <v>118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3972</v>
      </c>
      <c r="J131" s="0" t="n">
        <v>1683</v>
      </c>
    </row>
    <row r="132" customFormat="false" ht="23.85" hidden="false" customHeight="false" outlineLevel="0" collapsed="false">
      <c r="A132" s="3" t="s">
        <v>227</v>
      </c>
      <c r="B132" s="3" t="s">
        <v>228</v>
      </c>
      <c r="C132" s="3" t="s">
        <v>34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398</v>
      </c>
      <c r="J132" s="0" t="n">
        <v>3065</v>
      </c>
    </row>
    <row r="133" customFormat="false" ht="23.85" hidden="false" customHeight="false" outlineLevel="0" collapsed="false">
      <c r="A133" s="3" t="s">
        <v>229</v>
      </c>
      <c r="B133" s="3" t="s">
        <v>228</v>
      </c>
      <c r="C133" s="3" t="s">
        <v>70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404</v>
      </c>
      <c r="J133" s="0" t="n">
        <v>3406</v>
      </c>
    </row>
    <row r="134" customFormat="false" ht="23.85" hidden="false" customHeight="false" outlineLevel="0" collapsed="false">
      <c r="A134" s="3" t="s">
        <v>230</v>
      </c>
      <c r="B134" s="3" t="s">
        <v>228</v>
      </c>
      <c r="C134" s="3" t="s">
        <v>72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444</v>
      </c>
      <c r="J134" s="0" t="n">
        <v>3322</v>
      </c>
    </row>
    <row r="135" customFormat="false" ht="23.85" hidden="false" customHeight="false" outlineLevel="0" collapsed="false">
      <c r="A135" s="3" t="s">
        <v>231</v>
      </c>
      <c r="B135" s="3" t="s">
        <v>228</v>
      </c>
      <c r="C135" s="3" t="s">
        <v>74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442</v>
      </c>
      <c r="J135" s="0" t="n">
        <v>3393</v>
      </c>
    </row>
    <row r="136" customFormat="false" ht="23.85" hidden="false" customHeight="false" outlineLevel="0" collapsed="false">
      <c r="A136" s="3" t="s">
        <v>232</v>
      </c>
      <c r="B136" s="3" t="s">
        <v>228</v>
      </c>
      <c r="C136" s="3" t="s">
        <v>76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392</v>
      </c>
      <c r="J136" s="0" t="n">
        <v>3379</v>
      </c>
    </row>
    <row r="137" customFormat="false" ht="23.85" hidden="false" customHeight="false" outlineLevel="0" collapsed="false">
      <c r="A137" s="3" t="s">
        <v>233</v>
      </c>
      <c r="B137" s="3" t="s">
        <v>228</v>
      </c>
      <c r="C137" s="3" t="s">
        <v>78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387</v>
      </c>
      <c r="J137" s="0" t="n">
        <v>3190</v>
      </c>
    </row>
    <row r="138" customFormat="false" ht="23.85" hidden="false" customHeight="false" outlineLevel="0" collapsed="false">
      <c r="A138" s="3" t="s">
        <v>234</v>
      </c>
      <c r="B138" s="3" t="s">
        <v>228</v>
      </c>
      <c r="C138" s="3" t="s">
        <v>80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460</v>
      </c>
      <c r="J138" s="0" t="n">
        <v>3579</v>
      </c>
    </row>
    <row r="139" customFormat="false" ht="23.85" hidden="false" customHeight="false" outlineLevel="0" collapsed="false">
      <c r="A139" s="3" t="s">
        <v>235</v>
      </c>
      <c r="B139" s="3" t="s">
        <v>228</v>
      </c>
      <c r="C139" s="3" t="s">
        <v>82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404</v>
      </c>
      <c r="J139" s="0" t="n">
        <v>3183</v>
      </c>
    </row>
    <row r="140" customFormat="false" ht="23.85" hidden="false" customHeight="false" outlineLevel="0" collapsed="false">
      <c r="A140" s="3" t="s">
        <v>236</v>
      </c>
      <c r="B140" s="3" t="s">
        <v>228</v>
      </c>
      <c r="C140" s="3" t="s">
        <v>84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400</v>
      </c>
      <c r="J140" s="0" t="n">
        <v>3409</v>
      </c>
    </row>
    <row r="141" customFormat="false" ht="23.85" hidden="false" customHeight="false" outlineLevel="0" collapsed="false">
      <c r="A141" s="3" t="s">
        <v>237</v>
      </c>
      <c r="B141" s="3" t="s">
        <v>228</v>
      </c>
      <c r="C141" s="3" t="s">
        <v>86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439</v>
      </c>
      <c r="J141" s="0" t="n">
        <v>3366</v>
      </c>
    </row>
    <row r="142" customFormat="false" ht="23.85" hidden="false" customHeight="false" outlineLevel="0" collapsed="false">
      <c r="A142" s="3" t="s">
        <v>238</v>
      </c>
      <c r="B142" s="3" t="s">
        <v>228</v>
      </c>
      <c r="C142" s="3" t="s">
        <v>88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450</v>
      </c>
      <c r="J142" s="0" t="n">
        <v>3501</v>
      </c>
    </row>
    <row r="143" customFormat="false" ht="23.85" hidden="false" customHeight="false" outlineLevel="0" collapsed="false">
      <c r="A143" s="3" t="s">
        <v>239</v>
      </c>
      <c r="B143" s="3" t="s">
        <v>228</v>
      </c>
      <c r="C143" s="3" t="s">
        <v>90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415</v>
      </c>
      <c r="J143" s="0" t="n">
        <v>3389</v>
      </c>
    </row>
    <row r="144" customFormat="false" ht="23.85" hidden="false" customHeight="false" outlineLevel="0" collapsed="false">
      <c r="A144" s="3" t="s">
        <v>240</v>
      </c>
      <c r="B144" s="3" t="s">
        <v>228</v>
      </c>
      <c r="C144" s="3" t="s">
        <v>92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454</v>
      </c>
      <c r="J144" s="0" t="n">
        <v>3405</v>
      </c>
    </row>
    <row r="145" customFormat="false" ht="23.85" hidden="false" customHeight="false" outlineLevel="0" collapsed="false">
      <c r="A145" s="3" t="s">
        <v>241</v>
      </c>
      <c r="B145" s="3" t="s">
        <v>228</v>
      </c>
      <c r="C145" s="3" t="s">
        <v>94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474</v>
      </c>
      <c r="J145" s="0" t="n">
        <v>3406</v>
      </c>
    </row>
    <row r="146" customFormat="false" ht="23.85" hidden="false" customHeight="false" outlineLevel="0" collapsed="false">
      <c r="A146" s="3" t="s">
        <v>242</v>
      </c>
      <c r="B146" s="3" t="s">
        <v>228</v>
      </c>
      <c r="C146" s="3" t="s">
        <v>96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484</v>
      </c>
      <c r="J146" s="0" t="n">
        <v>3434</v>
      </c>
    </row>
    <row r="147" customFormat="false" ht="23.85" hidden="false" customHeight="false" outlineLevel="0" collapsed="false">
      <c r="A147" s="3" t="s">
        <v>243</v>
      </c>
      <c r="B147" s="3" t="s">
        <v>228</v>
      </c>
      <c r="C147" s="3" t="s">
        <v>98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439</v>
      </c>
      <c r="J147" s="0" t="n">
        <v>3582</v>
      </c>
    </row>
    <row r="148" customFormat="false" ht="23.85" hidden="false" customHeight="false" outlineLevel="0" collapsed="false">
      <c r="A148" s="3" t="s">
        <v>244</v>
      </c>
      <c r="B148" s="3" t="s">
        <v>228</v>
      </c>
      <c r="C148" s="3" t="s">
        <v>100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414</v>
      </c>
      <c r="J148" s="0" t="n">
        <v>3359</v>
      </c>
    </row>
    <row r="149" customFormat="false" ht="23.85" hidden="false" customHeight="false" outlineLevel="0" collapsed="false">
      <c r="A149" s="3" t="s">
        <v>245</v>
      </c>
      <c r="B149" s="3" t="s">
        <v>228</v>
      </c>
      <c r="C149" s="3" t="s">
        <v>102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448</v>
      </c>
      <c r="J149" s="0" t="n">
        <v>3419</v>
      </c>
    </row>
    <row r="150" customFormat="false" ht="23.85" hidden="false" customHeight="false" outlineLevel="0" collapsed="false">
      <c r="A150" s="3" t="s">
        <v>246</v>
      </c>
      <c r="B150" s="3" t="s">
        <v>228</v>
      </c>
      <c r="C150" s="3" t="s">
        <v>104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463</v>
      </c>
      <c r="J150" s="0" t="n">
        <v>3753</v>
      </c>
    </row>
    <row r="151" customFormat="false" ht="23.85" hidden="false" customHeight="false" outlineLevel="0" collapsed="false">
      <c r="A151" s="3" t="s">
        <v>247</v>
      </c>
      <c r="B151" s="3" t="s">
        <v>228</v>
      </c>
      <c r="C151" s="3" t="s">
        <v>106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402</v>
      </c>
      <c r="J151" s="0" t="n">
        <v>3257</v>
      </c>
    </row>
    <row r="152" customFormat="false" ht="23.85" hidden="false" customHeight="false" outlineLevel="0" collapsed="false">
      <c r="A152" s="3" t="s">
        <v>248</v>
      </c>
      <c r="B152" s="3" t="s">
        <v>228</v>
      </c>
      <c r="C152" s="3" t="s">
        <v>108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455</v>
      </c>
      <c r="J152" s="0" t="n">
        <v>3624</v>
      </c>
    </row>
    <row r="153" customFormat="false" ht="23.85" hidden="false" customHeight="false" outlineLevel="0" collapsed="false">
      <c r="A153" s="3" t="s">
        <v>249</v>
      </c>
      <c r="B153" s="3" t="s">
        <v>228</v>
      </c>
      <c r="C153" s="3" t="s">
        <v>110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460</v>
      </c>
      <c r="J153" s="0" t="n">
        <v>3379</v>
      </c>
    </row>
    <row r="154" customFormat="false" ht="23.85" hidden="false" customHeight="false" outlineLevel="0" collapsed="false">
      <c r="A154" s="3" t="s">
        <v>250</v>
      </c>
      <c r="B154" s="3" t="s">
        <v>228</v>
      </c>
      <c r="C154" s="3" t="s">
        <v>112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490</v>
      </c>
      <c r="J154" s="0" t="n">
        <v>3538</v>
      </c>
    </row>
    <row r="155" customFormat="false" ht="23.85" hidden="false" customHeight="false" outlineLevel="0" collapsed="false">
      <c r="A155" s="3" t="s">
        <v>251</v>
      </c>
      <c r="B155" s="3" t="s">
        <v>228</v>
      </c>
      <c r="C155" s="3" t="s">
        <v>114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409</v>
      </c>
      <c r="J155" s="0" t="n">
        <v>3497</v>
      </c>
    </row>
    <row r="156" customFormat="false" ht="23.85" hidden="false" customHeight="false" outlineLevel="0" collapsed="false">
      <c r="A156" s="3" t="s">
        <v>252</v>
      </c>
      <c r="B156" s="3" t="s">
        <v>228</v>
      </c>
      <c r="C156" s="3" t="s">
        <v>116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446</v>
      </c>
      <c r="J156" s="0" t="n">
        <v>3514</v>
      </c>
    </row>
    <row r="157" customFormat="false" ht="23.85" hidden="false" customHeight="false" outlineLevel="0" collapsed="false">
      <c r="A157" s="3" t="s">
        <v>253</v>
      </c>
      <c r="B157" s="3" t="s">
        <v>228</v>
      </c>
      <c r="C157" s="3" t="s">
        <v>118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486</v>
      </c>
      <c r="J157" s="0" t="n">
        <v>3650</v>
      </c>
    </row>
  </sheetData>
  <autoFilter ref="A1:J157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2026-09-27T01:06:27Z</dcterms:created>
  <dc:creator>openpyxl</dc:creator>
  <dc:description/>
  <dc:language>en-US</dc:language>
  <cp:lastModifiedBy/>
  <dcterms:modified xsi:type="dcterms:W3CDTF">2026-09-27T01:06:27Z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