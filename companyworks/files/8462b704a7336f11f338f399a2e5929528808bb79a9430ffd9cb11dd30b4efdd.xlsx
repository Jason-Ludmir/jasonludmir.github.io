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1'!$A$1:$H$31</definedName>
    <definedName function="false" hidden="false" localSheetId="3" name="_xlnm.Print_Titles" vbProcedure="false">'Data 1'!$1:$1</definedName>
    <definedName function="false" hidden="true" localSheetId="3" name="_xlnm._FilterDatabase" vbProcedure="false">'Data 1'!$A$1:$H$121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<sst xmlns="http://schemas.openxmlformats.org/spreadsheetml/2006/main" count="926" uniqueCount="451">
  <si>
    <t xml:space="preserve">Contract Register</t>
  </si>
  <si>
    <t xml:space="preserve">Tallowbrook Health</t>
  </si>
  <si>
    <t xml:space="preserve">Effective date</t>
  </si>
  <si>
    <t xml:space="preserve">2026-09-02</t>
  </si>
  <si>
    <t xml:space="preserve">Purpose</t>
  </si>
  <si>
    <t xml:space="preserve">List active supply and service agreements with supplier, category, agreement type, term and estimated annual value.</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</si>
  <si>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</si>
  <si>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</si>
  <si>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</si>
  <si>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</si>
  <si>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</si>
  <si>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Active supply and service agreements managed by Supply Chain Contracting, as of September 2, 2026. Maintained by the Manager, Contracting &amp; Value Analysis. Estimated annual values are Supply Chain planning estimates used for renewal prioritization; they are not contract commitments.</t>
  </si>
  <si>
    <t xml:space="preserve">Contents</t>
  </si>
  <si>
    <t xml:space="preserve">One row per active agreement (120 rows) with supplier, spend category, agreement type, effective and expiration dates, estimated annual value and sourcing owner.</t>
  </si>
  <si>
    <t xml:space="preserve">Supply and purchased-service agreements used by Tallowbrook facilities, including agreements accessed through the group purchasing organization. Physician agreements, real estate leases and software licenses are managed by their owning departments and are not listed.</t>
  </si>
  <si>
    <t xml:space="preserve">Definitions and cautions</t>
  </si>
  <si>
    <t xml:space="preserve">GPO agreement: accessed through Tallowbrook's group purchasing membership; most run three years and renew on the GPO's calendar.</t>
  </si>
  <si>
    <t xml:space="preserve">Local agreement: negotiated directly by Tallowbrook where no GPO agreement fits.</t>
  </si>
  <si>
    <t xml:space="preserve">Service agreement: purchased services such as maintenance, reference laboratory, linen or food service, usually paid through blanket orders.</t>
  </si>
  <si>
    <t xml:space="preserve">Expiration date is the current term end. Agreements with automatic renewal show the current term only.</t>
  </si>
  <si>
    <t xml:space="preserve">Several suppliers hold more than one agreement; totals by supplier should be taken from all rows for that supplier.</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</si>
  <si>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</si>
  <si>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</si>
  <si>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</si>
  <si>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</si>
  <si>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</si>
  <si>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</si>
  <si>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</si>
  <si>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</si>
  <si>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annual_value_estimate</t>
  </si>
  <si>
    <t xml:space="preserve">USD</t>
  </si>
  <si>
    <t xml:space="preserve">2021-01-01</t>
  </si>
  <si>
    <t xml:space="preserve">Field</t>
  </si>
  <si>
    <t xml:space="preserve">Definition</t>
  </si>
  <si>
    <t xml:space="preserve">Type</t>
  </si>
  <si>
    <t xml:space="preserve">Reference</t>
  </si>
  <si>
    <t xml:space="preserve">contract_id</t>
  </si>
  <si>
    <t xml:space="preserve">Contract reference</t>
  </si>
  <si>
    <t xml:space="preserve">id</t>
  </si>
  <si>
    <t xml:space="preserve">Estimated annual spend</t>
  </si>
  <si>
    <t xml:space="preserve">number</t>
  </si>
  <si>
    <t xml:space="preserve">supplier</t>
  </si>
  <si>
    <t xml:space="preserve">Supplier</t>
  </si>
  <si>
    <t xml:space="preserve">category</t>
  </si>
  <si>
    <t xml:space="preserve">Spend category</t>
  </si>
  <si>
    <t xml:space="preserve">contract_type</t>
  </si>
  <si>
    <t xml:space="preserve">Agreement type</t>
  </si>
  <si>
    <t xml:space="preserve">start_date</t>
  </si>
  <si>
    <t xml:space="preserve">date</t>
  </si>
  <si>
    <t xml:space="preserve">end_date</t>
  </si>
  <si>
    <t xml:space="preserve">Expiration date</t>
  </si>
  <si>
    <t xml:space="preserve">sourcing_owner</t>
  </si>
  <si>
    <t xml:space="preserve">Sourcing owner</t>
  </si>
  <si>
    <t xml:space="preserve">CT-000001</t>
  </si>
  <si>
    <t xml:space="preserve">Vireo Patient Equipment</t>
  </si>
  <si>
    <t xml:space="preserve">Minor equipment (under $25,000)</t>
  </si>
  <si>
    <t xml:space="preserve">GPO agreement</t>
  </si>
  <si>
    <t xml:space="preserve">2023-12-12</t>
  </si>
  <si>
    <t xml:space="preserve">2026-12-11</t>
  </si>
  <si>
    <t xml:space="preserve">Clinical sourcing</t>
  </si>
  <si>
    <t xml:space="preserve">CT-000002</t>
  </si>
  <si>
    <t xml:space="preserve">Cordell Medical Distribution</t>
  </si>
  <si>
    <t xml:space="preserve">Medical-surgical supplies</t>
  </si>
  <si>
    <t xml:space="preserve">2026-05-13</t>
  </si>
  <si>
    <t xml:space="preserve">2029-05-12</t>
  </si>
  <si>
    <t xml:space="preserve">CT-000003</t>
  </si>
  <si>
    <t xml:space="preserve">Stanton Clinical Equipment</t>
  </si>
  <si>
    <t xml:space="preserve">2026-03-18</t>
  </si>
  <si>
    <t xml:space="preserve">2029-03-17</t>
  </si>
  <si>
    <t xml:space="preserve">CT-000004</t>
  </si>
  <si>
    <t xml:space="preserve">Gulfbank Facility Supply</t>
  </si>
  <si>
    <t xml:space="preserve">Facilities and MRO</t>
  </si>
  <si>
    <t xml:space="preserve">Local agreement</t>
  </si>
  <si>
    <t xml:space="preserve">2026-05-31</t>
  </si>
  <si>
    <t xml:space="preserve">2029-10-10</t>
  </si>
  <si>
    <t xml:space="preserve">Non-clinical sourcing</t>
  </si>
  <si>
    <t xml:space="preserve">CT-000005</t>
  </si>
  <si>
    <t xml:space="preserve">Mercer Point Lab Products</t>
  </si>
  <si>
    <t xml:space="preserve">Laboratory reagents and supplies</t>
  </si>
  <si>
    <t xml:space="preserve">2024-06-24</t>
  </si>
  <si>
    <t xml:space="preserve">2027-06-24</t>
  </si>
  <si>
    <t xml:space="preserve">CT-000006</t>
  </si>
  <si>
    <t xml:space="preserve">Delta Staffing Partners</t>
  </si>
  <si>
    <t xml:space="preserve">Purchased services</t>
  </si>
  <si>
    <t xml:space="preserve">Service agreement</t>
  </si>
  <si>
    <t xml:space="preserve">2024-01-10</t>
  </si>
  <si>
    <t xml:space="preserve">2027-08-20</t>
  </si>
  <si>
    <t xml:space="preserve">Services sourcing</t>
  </si>
  <si>
    <t xml:space="preserve">CT-000007</t>
  </si>
  <si>
    <t xml:space="preserve">2023-09-24</t>
  </si>
  <si>
    <t xml:space="preserve">2027-04-09</t>
  </si>
  <si>
    <t xml:space="preserve">CT-000008</t>
  </si>
  <si>
    <t xml:space="preserve">Tidewater Contrast Media</t>
  </si>
  <si>
    <t xml:space="preserve">Imaging supplies and contrast</t>
  </si>
  <si>
    <t xml:space="preserve">2024-11-21</t>
  </si>
  <si>
    <t xml:space="preserve">2027-11-21</t>
  </si>
  <si>
    <t xml:space="preserve">CT-000009</t>
  </si>
  <si>
    <t xml:space="preserve">Lone Oak Produce</t>
  </si>
  <si>
    <t xml:space="preserve">Food service</t>
  </si>
  <si>
    <t xml:space="preserve">2026-02-16</t>
  </si>
  <si>
    <t xml:space="preserve">2029-08-29</t>
  </si>
  <si>
    <t xml:space="preserve">CT-000010</t>
  </si>
  <si>
    <t xml:space="preserve">Ironwood HVAC Parts</t>
  </si>
  <si>
    <t xml:space="preserve">2026-07-09</t>
  </si>
  <si>
    <t xml:space="preserve">2029-09-26</t>
  </si>
  <si>
    <t xml:space="preserve">CT-000011</t>
  </si>
  <si>
    <t xml:space="preserve">Solano Diagnostics Supply</t>
  </si>
  <si>
    <t xml:space="preserve">2024-11-06</t>
  </si>
  <si>
    <t xml:space="preserve">2027-11-06</t>
  </si>
  <si>
    <t xml:space="preserve">CT-000012</t>
  </si>
  <si>
    <t xml:space="preserve">Kestrel Infusion Disposables</t>
  </si>
  <si>
    <t xml:space="preserve">2026-08-10</t>
  </si>
  <si>
    <t xml:space="preserve">2029-08-09</t>
  </si>
  <si>
    <t xml:space="preserve">CT-000013</t>
  </si>
  <si>
    <t xml:space="preserve">Ridgeline Elevator Maintenance</t>
  </si>
  <si>
    <t xml:space="preserve">2025-02-02</t>
  </si>
  <si>
    <t xml:space="preserve">2030-01-24</t>
  </si>
  <si>
    <t xml:space="preserve">CT-000014</t>
  </si>
  <si>
    <t xml:space="preserve">2023-09-30</t>
  </si>
  <si>
    <t xml:space="preserve">2027-03-22</t>
  </si>
  <si>
    <t xml:space="preserve">CT-000015</t>
  </si>
  <si>
    <t xml:space="preserve">2023-11-18</t>
  </si>
  <si>
    <t xml:space="preserve">2026-11-17</t>
  </si>
  <si>
    <t xml:space="preserve">CT-000016</t>
  </si>
  <si>
    <t xml:space="preserve">Palisade Spine Technologies</t>
  </si>
  <si>
    <t xml:space="preserve">Orthopedic and spine implants</t>
  </si>
  <si>
    <t xml:space="preserve">2025-06-19</t>
  </si>
  <si>
    <t xml:space="preserve">2028-07-19</t>
  </si>
  <si>
    <t xml:space="preserve">CT-000017</t>
  </si>
  <si>
    <t xml:space="preserve">Ashby Surgical Products</t>
  </si>
  <si>
    <t xml:space="preserve">2026-06-06</t>
  </si>
  <si>
    <t xml:space="preserve">2029-06-05</t>
  </si>
  <si>
    <t xml:space="preserve">CT-000018</t>
  </si>
  <si>
    <t xml:space="preserve">2024-05-03</t>
  </si>
  <si>
    <t xml:space="preserve">2027-05-31</t>
  </si>
  <si>
    <t xml:space="preserve">CT-000019</t>
  </si>
  <si>
    <t xml:space="preserve">2025-03-05</t>
  </si>
  <si>
    <t xml:space="preserve">2028-03-04</t>
  </si>
  <si>
    <t xml:space="preserve">CT-000020</t>
  </si>
  <si>
    <t xml:space="preserve">2024-10-09</t>
  </si>
  <si>
    <t xml:space="preserve">2027-10-09</t>
  </si>
  <si>
    <t xml:space="preserve">CT-000021</t>
  </si>
  <si>
    <t xml:space="preserve">Anchor Courier Logistics</t>
  </si>
  <si>
    <t xml:space="preserve">2024-08-16</t>
  </si>
  <si>
    <t xml:space="preserve">2029-06-22</t>
  </si>
  <si>
    <t xml:space="preserve">CT-000022</t>
  </si>
  <si>
    <t xml:space="preserve">2025-01-20</t>
  </si>
  <si>
    <t xml:space="preserve">2028-01-20</t>
  </si>
  <si>
    <t xml:space="preserve">CT-000023</t>
  </si>
  <si>
    <t xml:space="preserve">Prairie Foodservice Distributors</t>
  </si>
  <si>
    <t xml:space="preserve">2025-02-07</t>
  </si>
  <si>
    <t xml:space="preserve">2028-02-07</t>
  </si>
  <si>
    <t xml:space="preserve">CT-000024</t>
  </si>
  <si>
    <t xml:space="preserve">2023-11-24</t>
  </si>
  <si>
    <t xml:space="preserve">2026-11-23</t>
  </si>
  <si>
    <t xml:space="preserve">CT-000025</t>
  </si>
  <si>
    <t xml:space="preserve">2023-10-22</t>
  </si>
  <si>
    <t xml:space="preserve">2026-10-21</t>
  </si>
  <si>
    <t xml:space="preserve">CT-000026</t>
  </si>
  <si>
    <t xml:space="preserve">2024-02-12</t>
  </si>
  <si>
    <t xml:space="preserve">2027-02-11</t>
  </si>
  <si>
    <t xml:space="preserve">CT-000027</t>
  </si>
  <si>
    <t xml:space="preserve">Clearline Technology Resellers</t>
  </si>
  <si>
    <t xml:space="preserve">IT hardware and peripherals</t>
  </si>
  <si>
    <t xml:space="preserve">2025-04-27</t>
  </si>
  <si>
    <t xml:space="preserve">2028-04-26</t>
  </si>
  <si>
    <t xml:space="preserve">CT-000028</t>
  </si>
  <si>
    <t xml:space="preserve">Harlan Instrument Company</t>
  </si>
  <si>
    <t xml:space="preserve">Surgical instruments</t>
  </si>
  <si>
    <t xml:space="preserve">2026-03-17</t>
  </si>
  <si>
    <t xml:space="preserve">2029-03-16</t>
  </si>
  <si>
    <t xml:space="preserve">CT-000029</t>
  </si>
  <si>
    <t xml:space="preserve">2023-12-20</t>
  </si>
  <si>
    <t xml:space="preserve">2026-12-19</t>
  </si>
  <si>
    <t xml:space="preserve">CT-000030</t>
  </si>
  <si>
    <t xml:space="preserve">2025-11-12</t>
  </si>
  <si>
    <t xml:space="preserve">2028-11-11</t>
  </si>
  <si>
    <t xml:space="preserve">CT-000031</t>
  </si>
  <si>
    <t xml:space="preserve">Northvale Orthopedic Systems</t>
  </si>
  <si>
    <t xml:space="preserve">2024-10-02</t>
  </si>
  <si>
    <t xml:space="preserve">2027-11-13</t>
  </si>
  <si>
    <t xml:space="preserve">CT-000032</t>
  </si>
  <si>
    <t xml:space="preserve">Brazos Instrument Repair</t>
  </si>
  <si>
    <t xml:space="preserve">2026-07-26</t>
  </si>
  <si>
    <t xml:space="preserve">2031-04-19</t>
  </si>
  <si>
    <t xml:space="preserve">CT-000033</t>
  </si>
  <si>
    <t xml:space="preserve">Lumen Imaging Consumables</t>
  </si>
  <si>
    <t xml:space="preserve">2026-04-24</t>
  </si>
  <si>
    <t xml:space="preserve">2029-04-23</t>
  </si>
  <si>
    <t xml:space="preserve">CT-000034</t>
  </si>
  <si>
    <t xml:space="preserve">2025-01-18</t>
  </si>
  <si>
    <t xml:space="preserve">2028-01-18</t>
  </si>
  <si>
    <t xml:space="preserve">CT-000035</t>
  </si>
  <si>
    <t xml:space="preserve">Westpark Electrical Wholesale</t>
  </si>
  <si>
    <t xml:space="preserve">2026-06-14</t>
  </si>
  <si>
    <t xml:space="preserve">CT-000036</t>
  </si>
  <si>
    <t xml:space="preserve">2023-09-17</t>
  </si>
  <si>
    <t xml:space="preserve">2026-09-16</t>
  </si>
  <si>
    <t xml:space="preserve">CT-000037</t>
  </si>
  <si>
    <t xml:space="preserve">2026-02-13</t>
  </si>
  <si>
    <t xml:space="preserve">2029-02-12</t>
  </si>
  <si>
    <t xml:space="preserve">CT-000038</t>
  </si>
  <si>
    <t xml:space="preserve">2026-05-03</t>
  </si>
  <si>
    <t xml:space="preserve">2029-05-02</t>
  </si>
  <si>
    <t xml:space="preserve">CT-000039</t>
  </si>
  <si>
    <t xml:space="preserve">2025-05-22</t>
  </si>
  <si>
    <t xml:space="preserve">2029-03-30</t>
  </si>
  <si>
    <t xml:space="preserve">CT-000040</t>
  </si>
  <si>
    <t xml:space="preserve">2025-12-25</t>
  </si>
  <si>
    <t xml:space="preserve">2030-02-05</t>
  </si>
  <si>
    <t xml:space="preserve">CT-000041</t>
  </si>
  <si>
    <t xml:space="preserve">2025-02-17</t>
  </si>
  <si>
    <t xml:space="preserve">2028-02-17</t>
  </si>
  <si>
    <t xml:space="preserve">CT-000042</t>
  </si>
  <si>
    <t xml:space="preserve">Redfield Joint Implants</t>
  </si>
  <si>
    <t xml:space="preserve">2024-07-22</t>
  </si>
  <si>
    <t xml:space="preserve">2027-07-22</t>
  </si>
  <si>
    <t xml:space="preserve">CT-000043</t>
  </si>
  <si>
    <t xml:space="preserve">2023-11-05</t>
  </si>
  <si>
    <t xml:space="preserve">2026-11-04</t>
  </si>
  <si>
    <t xml:space="preserve">CT-000044</t>
  </si>
  <si>
    <t xml:space="preserve">Harbor Linen Services</t>
  </si>
  <si>
    <t xml:space="preserve">Linen and environmental services</t>
  </si>
  <si>
    <t xml:space="preserve">2026-02-17</t>
  </si>
  <si>
    <t xml:space="preserve">2029-03-21</t>
  </si>
  <si>
    <t xml:space="preserve">CT-000045</t>
  </si>
  <si>
    <t xml:space="preserve">Brenham Wound Care Supply</t>
  </si>
  <si>
    <t xml:space="preserve">2025-07-13</t>
  </si>
  <si>
    <t xml:space="preserve">2028-07-12</t>
  </si>
  <si>
    <t xml:space="preserve">CT-000046</t>
  </si>
  <si>
    <t xml:space="preserve">2025-11-02</t>
  </si>
  <si>
    <t xml:space="preserve">2028-12-17</t>
  </si>
  <si>
    <t xml:space="preserve">CT-000047</t>
  </si>
  <si>
    <t xml:space="preserve">2025-04-17</t>
  </si>
  <si>
    <t xml:space="preserve">2028-04-16</t>
  </si>
  <si>
    <t xml:space="preserve">CT-000048</t>
  </si>
  <si>
    <t xml:space="preserve">2025-01-30</t>
  </si>
  <si>
    <t xml:space="preserve">2028-01-30</t>
  </si>
  <si>
    <t xml:space="preserve">CT-000049</t>
  </si>
  <si>
    <t xml:space="preserve">2025-03-26</t>
  </si>
  <si>
    <t xml:space="preserve">2028-03-25</t>
  </si>
  <si>
    <t xml:space="preserve">CT-000050</t>
  </si>
  <si>
    <t xml:space="preserve">2026-02-19</t>
  </si>
  <si>
    <t xml:space="preserve">2029-02-18</t>
  </si>
  <si>
    <t xml:space="preserve">CT-000051</t>
  </si>
  <si>
    <t xml:space="preserve">2024-03-21</t>
  </si>
  <si>
    <t xml:space="preserve">2027-03-21</t>
  </si>
  <si>
    <t xml:space="preserve">CT-000052</t>
  </si>
  <si>
    <t xml:space="preserve">2025-02-20</t>
  </si>
  <si>
    <t xml:space="preserve">2028-02-20</t>
  </si>
  <si>
    <t xml:space="preserve">CT-000053</t>
  </si>
  <si>
    <t xml:space="preserve">CT-000054</t>
  </si>
  <si>
    <t xml:space="preserve">2024-02-24</t>
  </si>
  <si>
    <t xml:space="preserve">2027-02-23</t>
  </si>
  <si>
    <t xml:space="preserve">CT-000055</t>
  </si>
  <si>
    <t xml:space="preserve">2024-09-26</t>
  </si>
  <si>
    <t xml:space="preserve">2027-09-26</t>
  </si>
  <si>
    <t xml:space="preserve">CT-000056</t>
  </si>
  <si>
    <t xml:space="preserve">2025-10-08</t>
  </si>
  <si>
    <t xml:space="preserve">2029-08-16</t>
  </si>
  <si>
    <t xml:space="preserve">CT-000057</t>
  </si>
  <si>
    <t xml:space="preserve">CT-000058</t>
  </si>
  <si>
    <t xml:space="preserve">CT-000059</t>
  </si>
  <si>
    <t xml:space="preserve">2025-10-09</t>
  </si>
  <si>
    <t xml:space="preserve">2028-10-08</t>
  </si>
  <si>
    <t xml:space="preserve">CT-000060</t>
  </si>
  <si>
    <t xml:space="preserve">2024-04-05</t>
  </si>
  <si>
    <t xml:space="preserve">2027-07-21</t>
  </si>
  <si>
    <t xml:space="preserve">CT-000061</t>
  </si>
  <si>
    <t xml:space="preserve">2025-09-15</t>
  </si>
  <si>
    <t xml:space="preserve">2028-09-14</t>
  </si>
  <si>
    <t xml:space="preserve">CT-000062</t>
  </si>
  <si>
    <t xml:space="preserve">2024-07-17</t>
  </si>
  <si>
    <t xml:space="preserve">2027-07-17</t>
  </si>
  <si>
    <t xml:space="preserve">CT-000063</t>
  </si>
  <si>
    <t xml:space="preserve">2025-02-10</t>
  </si>
  <si>
    <t xml:space="preserve">2028-02-10</t>
  </si>
  <si>
    <t xml:space="preserve">CT-000064</t>
  </si>
  <si>
    <t xml:space="preserve">2026-05-15</t>
  </si>
  <si>
    <t xml:space="preserve">2029-05-14</t>
  </si>
  <si>
    <t xml:space="preserve">CT-000065</t>
  </si>
  <si>
    <t xml:space="preserve">2025-08-11</t>
  </si>
  <si>
    <t xml:space="preserve">2028-08-10</t>
  </si>
  <si>
    <t xml:space="preserve">CT-000066</t>
  </si>
  <si>
    <t xml:space="preserve">2026-04-19</t>
  </si>
  <si>
    <t xml:space="preserve">2029-04-18</t>
  </si>
  <si>
    <t xml:space="preserve">CT-000067</t>
  </si>
  <si>
    <t xml:space="preserve">2025-09-21</t>
  </si>
  <si>
    <t xml:space="preserve">2029-04-21</t>
  </si>
  <si>
    <t xml:space="preserve">CT-000068</t>
  </si>
  <si>
    <t xml:space="preserve">2025-10-01</t>
  </si>
  <si>
    <t xml:space="preserve">2030-07-20</t>
  </si>
  <si>
    <t xml:space="preserve">CT-000069</t>
  </si>
  <si>
    <t xml:space="preserve">Pinecrest Office Products</t>
  </si>
  <si>
    <t xml:space="preserve">Office and print</t>
  </si>
  <si>
    <t xml:space="preserve">2025-01-29</t>
  </si>
  <si>
    <t xml:space="preserve">2028-01-29</t>
  </si>
  <si>
    <t xml:space="preserve">CT-000070</t>
  </si>
  <si>
    <t xml:space="preserve">2025-07-10</t>
  </si>
  <si>
    <t xml:space="preserve">2028-07-09</t>
  </si>
  <si>
    <t xml:space="preserve">CT-000071</t>
  </si>
  <si>
    <t xml:space="preserve">2023-12-05</t>
  </si>
  <si>
    <t xml:space="preserve">2027-10-05</t>
  </si>
  <si>
    <t xml:space="preserve">CT-000072</t>
  </si>
  <si>
    <t xml:space="preserve">2025-11-10</t>
  </si>
  <si>
    <t xml:space="preserve">2028-11-09</t>
  </si>
  <si>
    <t xml:space="preserve">CT-000073</t>
  </si>
  <si>
    <t xml:space="preserve">2024-08-29</t>
  </si>
  <si>
    <t xml:space="preserve">2028-01-31</t>
  </si>
  <si>
    <t xml:space="preserve">CT-000074</t>
  </si>
  <si>
    <t xml:space="preserve">2024-12-02</t>
  </si>
  <si>
    <t xml:space="preserve">2028-01-27</t>
  </si>
  <si>
    <t xml:space="preserve">CT-000075</t>
  </si>
  <si>
    <t xml:space="preserve">2025-01-07</t>
  </si>
  <si>
    <t xml:space="preserve">2028-01-07</t>
  </si>
  <si>
    <t xml:space="preserve">CT-000076</t>
  </si>
  <si>
    <t xml:space="preserve">2023-11-14</t>
  </si>
  <si>
    <t xml:space="preserve">2026-11-13</t>
  </si>
  <si>
    <t xml:space="preserve">CT-000077</t>
  </si>
  <si>
    <t xml:space="preserve">2025-05-26</t>
  </si>
  <si>
    <t xml:space="preserve">2028-12-23</t>
  </si>
  <si>
    <t xml:space="preserve">CT-000078</t>
  </si>
  <si>
    <t xml:space="preserve">2024-06-03</t>
  </si>
  <si>
    <t xml:space="preserve">2027-06-03</t>
  </si>
  <si>
    <t xml:space="preserve">CT-000079</t>
  </si>
  <si>
    <t xml:space="preserve">2026-05-08</t>
  </si>
  <si>
    <t xml:space="preserve">2029-05-07</t>
  </si>
  <si>
    <t xml:space="preserve">CT-000080</t>
  </si>
  <si>
    <t xml:space="preserve">2023-09-25</t>
  </si>
  <si>
    <t xml:space="preserve">2026-09-24</t>
  </si>
  <si>
    <t xml:space="preserve">CT-000081</t>
  </si>
  <si>
    <t xml:space="preserve">2026-05-05</t>
  </si>
  <si>
    <t xml:space="preserve">2029-05-04</t>
  </si>
  <si>
    <t xml:space="preserve">CT-000082</t>
  </si>
  <si>
    <t xml:space="preserve">Marigold Print Services</t>
  </si>
  <si>
    <t xml:space="preserve">2024-10-25</t>
  </si>
  <si>
    <t xml:space="preserve">2028-07-06</t>
  </si>
  <si>
    <t xml:space="preserve">CT-000083</t>
  </si>
  <si>
    <t xml:space="preserve">2024-03-20</t>
  </si>
  <si>
    <t xml:space="preserve">2029-01-12</t>
  </si>
  <si>
    <t xml:space="preserve">CT-000084</t>
  </si>
  <si>
    <t xml:space="preserve">2025-01-11</t>
  </si>
  <si>
    <t xml:space="preserve">2028-01-11</t>
  </si>
  <si>
    <t xml:space="preserve">CT-000085</t>
  </si>
  <si>
    <t xml:space="preserve">2025-11-22</t>
  </si>
  <si>
    <t xml:space="preserve">2028-11-21</t>
  </si>
  <si>
    <t xml:space="preserve">CT-000086</t>
  </si>
  <si>
    <t xml:space="preserve">2024-03-03</t>
  </si>
  <si>
    <t xml:space="preserve">2027-03-03</t>
  </si>
  <si>
    <t xml:space="preserve">CT-000087</t>
  </si>
  <si>
    <t xml:space="preserve">Crestview Waste Solutions</t>
  </si>
  <si>
    <t xml:space="preserve">2026-03-03</t>
  </si>
  <si>
    <t xml:space="preserve">2030-05-21</t>
  </si>
  <si>
    <t xml:space="preserve">CT-000088</t>
  </si>
  <si>
    <t xml:space="preserve">2025-02-14</t>
  </si>
  <si>
    <t xml:space="preserve">2028-02-14</t>
  </si>
  <si>
    <t xml:space="preserve">CT-000089</t>
  </si>
  <si>
    <t xml:space="preserve">2025-09-22</t>
  </si>
  <si>
    <t xml:space="preserve">2029-09-18</t>
  </si>
  <si>
    <t xml:space="preserve">CT-000090</t>
  </si>
  <si>
    <t xml:space="preserve">2023-09-19</t>
  </si>
  <si>
    <t xml:space="preserve">2027-05-29</t>
  </si>
  <si>
    <t xml:space="preserve">CT-000091</t>
  </si>
  <si>
    <t xml:space="preserve">2025-12-16</t>
  </si>
  <si>
    <t xml:space="preserve">2028-12-15</t>
  </si>
  <si>
    <t xml:space="preserve">CT-000092</t>
  </si>
  <si>
    <t xml:space="preserve">Summit Biomedical Services</t>
  </si>
  <si>
    <t xml:space="preserve">2026-03-20</t>
  </si>
  <si>
    <t xml:space="preserve">2029-06-23</t>
  </si>
  <si>
    <t xml:space="preserve">CT-000093</t>
  </si>
  <si>
    <t xml:space="preserve">Brightway EVS Products</t>
  </si>
  <si>
    <t xml:space="preserve">2024-08-10</t>
  </si>
  <si>
    <t xml:space="preserve">2027-08-10</t>
  </si>
  <si>
    <t xml:space="preserve">CT-000094</t>
  </si>
  <si>
    <t xml:space="preserve">2028-11-01</t>
  </si>
  <si>
    <t xml:space="preserve">CT-000095</t>
  </si>
  <si>
    <t xml:space="preserve">2024-01-02</t>
  </si>
  <si>
    <t xml:space="preserve">2027-12-11</t>
  </si>
  <si>
    <t xml:space="preserve">CT-000096</t>
  </si>
  <si>
    <t xml:space="preserve">2026-02-18</t>
  </si>
  <si>
    <t xml:space="preserve">2029-02-17</t>
  </si>
  <si>
    <t xml:space="preserve">CT-000097</t>
  </si>
  <si>
    <t xml:space="preserve">CT-000098</t>
  </si>
  <si>
    <t xml:space="preserve">2024-03-27</t>
  </si>
  <si>
    <t xml:space="preserve">2027-03-27</t>
  </si>
  <si>
    <t xml:space="preserve">CT-000099</t>
  </si>
  <si>
    <t xml:space="preserve">2025-12-02</t>
  </si>
  <si>
    <t xml:space="preserve">2028-12-01</t>
  </si>
  <si>
    <t xml:space="preserve">CT-000100</t>
  </si>
  <si>
    <t xml:space="preserve">2025-10-07</t>
  </si>
  <si>
    <t xml:space="preserve">2028-10-06</t>
  </si>
  <si>
    <t xml:space="preserve">CT-000101</t>
  </si>
  <si>
    <t xml:space="preserve">2023-12-25</t>
  </si>
  <si>
    <t xml:space="preserve">2027-07-08</t>
  </si>
  <si>
    <t xml:space="preserve">CT-000102</t>
  </si>
  <si>
    <t xml:space="preserve">2023-11-29</t>
  </si>
  <si>
    <t xml:space="preserve">2026-11-28</t>
  </si>
  <si>
    <t xml:space="preserve">CT-000103</t>
  </si>
  <si>
    <t xml:space="preserve">2025-06-07</t>
  </si>
  <si>
    <t xml:space="preserve">2028-06-06</t>
  </si>
  <si>
    <t xml:space="preserve">CT-000104</t>
  </si>
  <si>
    <t xml:space="preserve">2025-02-24</t>
  </si>
  <si>
    <t xml:space="preserve">2028-02-24</t>
  </si>
  <si>
    <t xml:space="preserve">CT-000105</t>
  </si>
  <si>
    <t xml:space="preserve">2024-08-23</t>
  </si>
  <si>
    <t xml:space="preserve">2027-11-26</t>
  </si>
  <si>
    <t xml:space="preserve">CT-000106</t>
  </si>
  <si>
    <t xml:space="preserve">2025-02-28</t>
  </si>
  <si>
    <t xml:space="preserve">2028-10-07</t>
  </si>
  <si>
    <t xml:space="preserve">CT-000107</t>
  </si>
  <si>
    <t xml:space="preserve">2026-01-25</t>
  </si>
  <si>
    <t xml:space="preserve">2029-01-24</t>
  </si>
  <si>
    <t xml:space="preserve">CT-000108</t>
  </si>
  <si>
    <t xml:space="preserve">2024-02-11</t>
  </si>
  <si>
    <t xml:space="preserve">2027-02-10</t>
  </si>
  <si>
    <t xml:space="preserve">CT-000109</t>
  </si>
  <si>
    <t xml:space="preserve">2025-04-04</t>
  </si>
  <si>
    <t xml:space="preserve">2028-04-03</t>
  </si>
  <si>
    <t xml:space="preserve">CT-000110</t>
  </si>
  <si>
    <t xml:space="preserve">2024-04-18</t>
  </si>
  <si>
    <t xml:space="preserve">2027-04-18</t>
  </si>
  <si>
    <t xml:space="preserve">CT-000111</t>
  </si>
  <si>
    <t xml:space="preserve">2024-02-17</t>
  </si>
  <si>
    <t xml:space="preserve">2027-02-16</t>
  </si>
  <si>
    <t xml:space="preserve">CT-000112</t>
  </si>
  <si>
    <t xml:space="preserve">2024-12-07</t>
  </si>
  <si>
    <t xml:space="preserve">2028-08-19</t>
  </si>
  <si>
    <t xml:space="preserve">CT-000113</t>
  </si>
  <si>
    <t xml:space="preserve">2026-07-07</t>
  </si>
  <si>
    <t xml:space="preserve">2029-07-06</t>
  </si>
  <si>
    <t xml:space="preserve">CT-000114</t>
  </si>
  <si>
    <t xml:space="preserve">2024-07-25</t>
  </si>
  <si>
    <t xml:space="preserve">2027-07-25</t>
  </si>
  <si>
    <t xml:space="preserve">CT-000115</t>
  </si>
  <si>
    <t xml:space="preserve">2024-04-15</t>
  </si>
  <si>
    <t xml:space="preserve">2028-11-03</t>
  </si>
  <si>
    <t xml:space="preserve">CT-000116</t>
  </si>
  <si>
    <t xml:space="preserve">2025-02-12</t>
  </si>
  <si>
    <t xml:space="preserve">2028-06-28</t>
  </si>
  <si>
    <t xml:space="preserve">CT-000117</t>
  </si>
  <si>
    <t xml:space="preserve">2023-10-27</t>
  </si>
  <si>
    <t xml:space="preserve">2027-11-20</t>
  </si>
  <si>
    <t xml:space="preserve">CT-000118</t>
  </si>
  <si>
    <t xml:space="preserve">2024-04-26</t>
  </si>
  <si>
    <t xml:space="preserve">2027-06-22</t>
  </si>
  <si>
    <t xml:space="preserve">CT-000119</t>
  </si>
  <si>
    <t xml:space="preserve">2026-06-03</t>
  </si>
  <si>
    <t xml:space="preserve">2029-06-02</t>
  </si>
  <si>
    <t xml:space="preserve">CT-000120</t>
  </si>
  <si>
    <t xml:space="preserve">2026-03-09</t>
  </si>
  <si>
    <t xml:space="preserve">2029-03-08</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</si>
</sst>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H121" headerRowCount="1" totalsRowCount="0" totalsRowShown="0">
  <autoFilter ref="A1:H121"/>
  <tableColumns count="8">
    <tableColumn id="1" name="contract_id"/>
    <tableColumn id="2" name="annual_value_estimate"/>
    <tableColumn id="3" name="supplier"/>
    <tableColumn id="4" name="category"/>
    <tableColumn id="5" name="contract_type"/>
    <tableColumn id="6" name="start_date"/>
    <tableColumn id="7" name="end_date"/>
    <tableColumn id="8" name="sourcing_owner"/>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1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31.5" hidden="false" customHeight="true" outlineLevel="0" collapsed="false">
      <c r="A8" s="3" t="s">
        <v>12</v>
      </c>
      <c r="B8" s="3" t="s">
        <v>13</v>
      </c>
    </row>
    <row r="9" customFormat="false" ht="60" hidden="false" customHeight="true" outlineLevel="0" collapsed="false">
      <c r="A9" s="3" t="s">
        <v>6</v>
      </c>
      <c r="B9" s="3" t="s">
        <v>14</v>
      </c>
    </row>
    <row r="10" customFormat="false" ht="31.5" hidden="false" customHeight="true" outlineLevel="0" collapsed="false">
      <c r="A10" s="3" t="s">
        <v>15</v>
      </c>
      <c r="B10" s="3" t="s">
        <v>16</v>
      </c>
    </row>
    <row r="11" customFormat="false" ht="31.5" hidden="false" customHeight="true" outlineLevel="0" collapsed="false">
      <c r="A11" s="3" t="s">
        <v>15</v>
      </c>
      <c r="B11" s="3" t="s">
        <v>17</v>
      </c>
    </row>
    <row r="12" customFormat="false" ht="31.5" hidden="false" customHeight="true" outlineLevel="0" collapsed="false">
      <c r="A12" s="3" t="s">
        <v>15</v>
      </c>
      <c r="B12" s="3" t="s">
        <v>18</v>
      </c>
    </row>
    <row r="13" customFormat="false" ht="31.5" hidden="false" customHeight="true" outlineLevel="0" collapsed="false">
      <c r="A13" s="3" t="s">
        <v>15</v>
      </c>
      <c r="B13" s="3" t="s">
        <v>19</v>
      </c>
    </row>
    <row r="14" customFormat="false" ht="31.5" hidden="false" customHeight="true" outlineLevel="0" collapsed="false">
      <c r="A14" s="3" t="s">
        <v>15</v>
      </c>
      <c r="B14" s="3" t="s">
        <v>20</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21</v>
      </c>
      <c r="B1" s="1" t="s">
        <v>22</v>
      </c>
      <c r="C1" s="1" t="s">
        <v>23</v>
      </c>
      <c r="D1" s="1" t="s">
        <v>24</v>
      </c>
      <c r="E1" s="1" t="s">
        <v>25</v>
      </c>
      <c r="F1" s="1" t="s">
        <v>26</v>
      </c>
      <c r="G1" s="1" t="s">
        <v>27</v>
      </c>
      <c r="H1" s="1" t="s">
        <v>28</v>
      </c>
    </row>
    <row r="2" customFormat="false" ht="45" hidden="false" customHeight="true" outlineLevel="0" collapsed="false">
      <c r="A2" s="3" t="s">
        <v>0</v>
      </c>
      <c r="B2" s="3" t="s">
        <v>29</v>
      </c>
      <c r="C2" s="3" t="s">
        <v>30</v>
      </c>
      <c r="D2" s="4" t="n">
        <f aca="false">SUM('Data 1'!B2:B121)</f>
        <v>54401285</v>
      </c>
      <c r="E2" s="4" t="n">
        <f aca="false">IF(COUNT('Data 1'!B2:B121)=0,0,AVERAGE('Data 1'!B2:B121))</f>
        <v>453344.041666667</v>
      </c>
      <c r="F2" s="0" t="n">
        <f aca="false">COUNT('Data 1'!B2:B121)</f>
        <v>120</v>
      </c>
      <c r="G2" s="3" t="s">
        <v>31</v>
      </c>
      <c r="H2" s="3" t="s">
        <v>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21</v>
      </c>
      <c r="B1" s="1" t="s">
        <v>32</v>
      </c>
      <c r="C1" s="1" t="s">
        <v>33</v>
      </c>
      <c r="D1" s="1" t="s">
        <v>23</v>
      </c>
      <c r="E1" s="1" t="s">
        <v>34</v>
      </c>
      <c r="F1" s="1" t="s">
        <v>35</v>
      </c>
    </row>
    <row r="2" customFormat="false" ht="31.5" hidden="false" customHeight="true" outlineLevel="0" collapsed="false">
      <c r="A2" s="3" t="s">
        <v>0</v>
      </c>
      <c r="B2" s="3" t="s">
        <v>36</v>
      </c>
      <c r="C2" s="3" t="s">
        <v>37</v>
      </c>
      <c r="D2" s="3"/>
      <c r="E2" s="3" t="s">
        <v>38</v>
      </c>
      <c r="F2" s="3"/>
    </row>
    <row r="3" customFormat="false" ht="31.5" hidden="false" customHeight="true" outlineLevel="0" collapsed="false">
      <c r="A3" s="3" t="s">
        <v>0</v>
      </c>
      <c r="B3" s="3" t="s">
        <v>29</v>
      </c>
      <c r="C3" s="3" t="s">
        <v>39</v>
      </c>
      <c r="D3" s="3" t="s">
        <v>30</v>
      </c>
      <c r="E3" s="3" t="s">
        <v>40</v>
      </c>
      <c r="F3" s="3"/>
    </row>
    <row r="4" customFormat="false" ht="31.5" hidden="false" customHeight="true" outlineLevel="0" collapsed="false">
      <c r="A4" s="3" t="s">
        <v>0</v>
      </c>
      <c r="B4" s="3" t="s">
        <v>41</v>
      </c>
      <c r="C4" s="3" t="s">
        <v>42</v>
      </c>
      <c r="D4" s="3"/>
      <c r="E4" s="3" t="s">
        <v>43</v>
      </c>
      <c r="F4" s="3"/>
    </row>
    <row r="5" customFormat="false" ht="31.5" hidden="false" customHeight="true" outlineLevel="0" collapsed="false">
      <c r="A5" s="3" t="s">
        <v>0</v>
      </c>
      <c r="B5" s="3" t="s">
        <v>43</v>
      </c>
      <c r="C5" s="3" t="s">
        <v>44</v>
      </c>
      <c r="D5" s="3"/>
      <c r="E5" s="3" t="s">
        <v>43</v>
      </c>
      <c r="F5" s="3"/>
    </row>
    <row r="6" customFormat="false" ht="31.5" hidden="false" customHeight="true" outlineLevel="0" collapsed="false">
      <c r="A6" s="3" t="s">
        <v>0</v>
      </c>
      <c r="B6" s="3" t="s">
        <v>45</v>
      </c>
      <c r="C6" s="3" t="s">
        <v>46</v>
      </c>
      <c r="D6" s="3"/>
      <c r="E6" s="3" t="s">
        <v>43</v>
      </c>
      <c r="F6" s="3"/>
    </row>
    <row r="7" customFormat="false" ht="31.5" hidden="false" customHeight="true" outlineLevel="0" collapsed="false">
      <c r="A7" s="3" t="s">
        <v>0</v>
      </c>
      <c r="B7" s="3" t="s">
        <v>47</v>
      </c>
      <c r="C7" s="3" t="s">
        <v>2</v>
      </c>
      <c r="D7" s="3"/>
      <c r="E7" s="3" t="s">
        <v>48</v>
      </c>
      <c r="F7" s="3"/>
    </row>
    <row r="8" customFormat="false" ht="31.5" hidden="false" customHeight="true" outlineLevel="0" collapsed="false">
      <c r="A8" s="3" t="s">
        <v>0</v>
      </c>
      <c r="B8" s="3" t="s">
        <v>49</v>
      </c>
      <c r="C8" s="3" t="s">
        <v>50</v>
      </c>
      <c r="D8" s="3"/>
      <c r="E8" s="3" t="s">
        <v>48</v>
      </c>
      <c r="F8" s="3"/>
    </row>
    <row r="9" customFormat="false" ht="31.5" hidden="false" customHeight="true" outlineLevel="0" collapsed="false">
      <c r="A9" s="3" t="s">
        <v>0</v>
      </c>
      <c r="B9" s="3" t="s">
        <v>51</v>
      </c>
      <c r="C9" s="3" t="s">
        <v>52</v>
      </c>
      <c r="D9" s="3"/>
      <c r="E9" s="3" t="s">
        <v>43</v>
      </c>
      <c r="F9"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36</v>
      </c>
      <c r="B1" s="1" t="s">
        <v>29</v>
      </c>
      <c r="C1" s="1" t="s">
        <v>41</v>
      </c>
      <c r="D1" s="1" t="s">
        <v>43</v>
      </c>
      <c r="E1" s="1" t="s">
        <v>45</v>
      </c>
      <c r="F1" s="1" t="s">
        <v>47</v>
      </c>
      <c r="G1" s="1" t="s">
        <v>49</v>
      </c>
      <c r="H1" s="1" t="s">
        <v>51</v>
      </c>
    </row>
    <row r="2" customFormat="false" ht="23.85" hidden="false" customHeight="false" outlineLevel="0" collapsed="false">
      <c r="A2" s="3" t="s">
        <v>53</v>
      </c>
      <c r="B2" s="0" t="n">
        <v>368916</v>
      </c>
      <c r="C2" s="3" t="s">
        <v>54</v>
      </c>
      <c r="D2" s="3" t="s">
        <v>55</v>
      </c>
      <c r="E2" s="3" t="s">
        <v>56</v>
      </c>
      <c r="F2" s="3" t="s">
        <v>57</v>
      </c>
      <c r="G2" s="3" t="s">
        <v>58</v>
      </c>
      <c r="H2" s="3" t="s">
        <v>59</v>
      </c>
    </row>
    <row r="3" customFormat="false" ht="15" hidden="false" customHeight="false" outlineLevel="0" collapsed="false">
      <c r="A3" s="3" t="s">
        <v>60</v>
      </c>
      <c r="B3" s="0" t="n">
        <v>1503507</v>
      </c>
      <c r="C3" s="3" t="s">
        <v>61</v>
      </c>
      <c r="D3" s="3" t="s">
        <v>62</v>
      </c>
      <c r="E3" s="3" t="s">
        <v>56</v>
      </c>
      <c r="F3" s="3" t="s">
        <v>63</v>
      </c>
      <c r="G3" s="3" t="s">
        <v>64</v>
      </c>
      <c r="H3" s="3" t="s">
        <v>59</v>
      </c>
    </row>
    <row r="4" customFormat="false" ht="23.85" hidden="false" customHeight="false" outlineLevel="0" collapsed="false">
      <c r="A4" s="3" t="s">
        <v>65</v>
      </c>
      <c r="B4" s="0" t="n">
        <v>199957</v>
      </c>
      <c r="C4" s="3" t="s">
        <v>66</v>
      </c>
      <c r="D4" s="3" t="s">
        <v>55</v>
      </c>
      <c r="E4" s="3" t="s">
        <v>56</v>
      </c>
      <c r="F4" s="3" t="s">
        <v>67</v>
      </c>
      <c r="G4" s="3" t="s">
        <v>68</v>
      </c>
      <c r="H4" s="3" t="s">
        <v>59</v>
      </c>
    </row>
    <row r="5" customFormat="false" ht="15" hidden="false" customHeight="false" outlineLevel="0" collapsed="false">
      <c r="A5" s="3" t="s">
        <v>69</v>
      </c>
      <c r="B5" s="0" t="n">
        <v>76658</v>
      </c>
      <c r="C5" s="3" t="s">
        <v>70</v>
      </c>
      <c r="D5" s="3" t="s">
        <v>71</v>
      </c>
      <c r="E5" s="3" t="s">
        <v>72</v>
      </c>
      <c r="F5" s="3" t="s">
        <v>73</v>
      </c>
      <c r="G5" s="3" t="s">
        <v>74</v>
      </c>
      <c r="H5" s="3" t="s">
        <v>75</v>
      </c>
    </row>
    <row r="6" customFormat="false" ht="23.85" hidden="false" customHeight="false" outlineLevel="0" collapsed="false">
      <c r="A6" s="3" t="s">
        <v>76</v>
      </c>
      <c r="B6" s="0" t="n">
        <v>293303</v>
      </c>
      <c r="C6" s="3" t="s">
        <v>77</v>
      </c>
      <c r="D6" s="3" t="s">
        <v>78</v>
      </c>
      <c r="E6" s="3" t="s">
        <v>56</v>
      </c>
      <c r="F6" s="3" t="s">
        <v>79</v>
      </c>
      <c r="G6" s="3" t="s">
        <v>80</v>
      </c>
      <c r="H6" s="3" t="s">
        <v>59</v>
      </c>
    </row>
    <row r="7" customFormat="false" ht="15" hidden="false" customHeight="false" outlineLevel="0" collapsed="false">
      <c r="A7" s="3" t="s">
        <v>81</v>
      </c>
      <c r="B7" s="0" t="n">
        <v>947812</v>
      </c>
      <c r="C7" s="3" t="s">
        <v>82</v>
      </c>
      <c r="D7" s="3" t="s">
        <v>83</v>
      </c>
      <c r="E7" s="3" t="s">
        <v>84</v>
      </c>
      <c r="F7" s="3" t="s">
        <v>85</v>
      </c>
      <c r="G7" s="3" t="s">
        <v>86</v>
      </c>
      <c r="H7" s="3" t="s">
        <v>87</v>
      </c>
    </row>
    <row r="8" customFormat="false" ht="15" hidden="false" customHeight="false" outlineLevel="0" collapsed="false">
      <c r="A8" s="3" t="s">
        <v>88</v>
      </c>
      <c r="B8" s="0" t="n">
        <v>200440</v>
      </c>
      <c r="C8" s="3" t="s">
        <v>70</v>
      </c>
      <c r="D8" s="3" t="s">
        <v>71</v>
      </c>
      <c r="E8" s="3" t="s">
        <v>72</v>
      </c>
      <c r="F8" s="3" t="s">
        <v>89</v>
      </c>
      <c r="G8" s="3" t="s">
        <v>90</v>
      </c>
      <c r="H8" s="3" t="s">
        <v>75</v>
      </c>
    </row>
    <row r="9" customFormat="false" ht="23.85" hidden="false" customHeight="false" outlineLevel="0" collapsed="false">
      <c r="A9" s="3" t="s">
        <v>91</v>
      </c>
      <c r="B9" s="0" t="n">
        <v>164000</v>
      </c>
      <c r="C9" s="3" t="s">
        <v>92</v>
      </c>
      <c r="D9" s="3" t="s">
        <v>93</v>
      </c>
      <c r="E9" s="3" t="s">
        <v>56</v>
      </c>
      <c r="F9" s="3" t="s">
        <v>94</v>
      </c>
      <c r="G9" s="3" t="s">
        <v>95</v>
      </c>
      <c r="H9" s="3" t="s">
        <v>59</v>
      </c>
    </row>
    <row r="10" customFormat="false" ht="15" hidden="false" customHeight="false" outlineLevel="0" collapsed="false">
      <c r="A10" s="3" t="s">
        <v>96</v>
      </c>
      <c r="B10" s="0" t="n">
        <v>1764714</v>
      </c>
      <c r="C10" s="3" t="s">
        <v>97</v>
      </c>
      <c r="D10" s="3" t="s">
        <v>98</v>
      </c>
      <c r="E10" s="3" t="s">
        <v>72</v>
      </c>
      <c r="F10" s="3" t="s">
        <v>99</v>
      </c>
      <c r="G10" s="3" t="s">
        <v>100</v>
      </c>
      <c r="H10" s="3" t="s">
        <v>75</v>
      </c>
    </row>
    <row r="11" customFormat="false" ht="15" hidden="false" customHeight="false" outlineLevel="0" collapsed="false">
      <c r="A11" s="3" t="s">
        <v>101</v>
      </c>
      <c r="B11" s="0" t="n">
        <v>267864</v>
      </c>
      <c r="C11" s="3" t="s">
        <v>102</v>
      </c>
      <c r="D11" s="3" t="s">
        <v>71</v>
      </c>
      <c r="E11" s="3" t="s">
        <v>72</v>
      </c>
      <c r="F11" s="3" t="s">
        <v>103</v>
      </c>
      <c r="G11" s="3" t="s">
        <v>104</v>
      </c>
      <c r="H11" s="3" t="s">
        <v>75</v>
      </c>
    </row>
    <row r="12" customFormat="false" ht="23.85" hidden="false" customHeight="false" outlineLevel="0" collapsed="false">
      <c r="A12" s="3" t="s">
        <v>105</v>
      </c>
      <c r="B12" s="0" t="n">
        <v>514038</v>
      </c>
      <c r="C12" s="3" t="s">
        <v>106</v>
      </c>
      <c r="D12" s="3" t="s">
        <v>78</v>
      </c>
      <c r="E12" s="3" t="s">
        <v>56</v>
      </c>
      <c r="F12" s="3" t="s">
        <v>107</v>
      </c>
      <c r="G12" s="3" t="s">
        <v>108</v>
      </c>
      <c r="H12" s="3" t="s">
        <v>59</v>
      </c>
    </row>
    <row r="13" customFormat="false" ht="15" hidden="false" customHeight="false" outlineLevel="0" collapsed="false">
      <c r="A13" s="3" t="s">
        <v>109</v>
      </c>
      <c r="B13" s="0" t="n">
        <v>1011127</v>
      </c>
      <c r="C13" s="3" t="s">
        <v>110</v>
      </c>
      <c r="D13" s="3" t="s">
        <v>62</v>
      </c>
      <c r="E13" s="3" t="s">
        <v>56</v>
      </c>
      <c r="F13" s="3" t="s">
        <v>111</v>
      </c>
      <c r="G13" s="3" t="s">
        <v>112</v>
      </c>
      <c r="H13" s="3" t="s">
        <v>59</v>
      </c>
    </row>
    <row r="14" customFormat="false" ht="23.85" hidden="false" customHeight="false" outlineLevel="0" collapsed="false">
      <c r="A14" s="3" t="s">
        <v>113</v>
      </c>
      <c r="B14" s="0" t="n">
        <v>799262</v>
      </c>
      <c r="C14" s="3" t="s">
        <v>114</v>
      </c>
      <c r="D14" s="3" t="s">
        <v>83</v>
      </c>
      <c r="E14" s="3" t="s">
        <v>84</v>
      </c>
      <c r="F14" s="3" t="s">
        <v>115</v>
      </c>
      <c r="G14" s="3" t="s">
        <v>116</v>
      </c>
      <c r="H14" s="3" t="s">
        <v>87</v>
      </c>
    </row>
    <row r="15" customFormat="false" ht="15" hidden="false" customHeight="false" outlineLevel="0" collapsed="false">
      <c r="A15" s="3" t="s">
        <v>117</v>
      </c>
      <c r="B15" s="0" t="n">
        <v>417144</v>
      </c>
      <c r="C15" s="3" t="s">
        <v>82</v>
      </c>
      <c r="D15" s="3" t="s">
        <v>83</v>
      </c>
      <c r="E15" s="3" t="s">
        <v>84</v>
      </c>
      <c r="F15" s="3" t="s">
        <v>118</v>
      </c>
      <c r="G15" s="3" t="s">
        <v>119</v>
      </c>
      <c r="H15" s="3" t="s">
        <v>87</v>
      </c>
    </row>
    <row r="16" customFormat="false" ht="23.85" hidden="false" customHeight="false" outlineLevel="0" collapsed="false">
      <c r="A16" s="3" t="s">
        <v>120</v>
      </c>
      <c r="B16" s="0" t="n">
        <v>435771</v>
      </c>
      <c r="C16" s="3" t="s">
        <v>66</v>
      </c>
      <c r="D16" s="3" t="s">
        <v>55</v>
      </c>
      <c r="E16" s="3" t="s">
        <v>56</v>
      </c>
      <c r="F16" s="3" t="s">
        <v>121</v>
      </c>
      <c r="G16" s="3" t="s">
        <v>122</v>
      </c>
      <c r="H16" s="3" t="s">
        <v>59</v>
      </c>
    </row>
    <row r="17" customFormat="false" ht="23.85" hidden="false" customHeight="false" outlineLevel="0" collapsed="false">
      <c r="A17" s="3" t="s">
        <v>123</v>
      </c>
      <c r="B17" s="0" t="n">
        <v>333216</v>
      </c>
      <c r="C17" s="3" t="s">
        <v>124</v>
      </c>
      <c r="D17" s="3" t="s">
        <v>125</v>
      </c>
      <c r="E17" s="3" t="s">
        <v>72</v>
      </c>
      <c r="F17" s="3" t="s">
        <v>126</v>
      </c>
      <c r="G17" s="3" t="s">
        <v>127</v>
      </c>
      <c r="H17" s="3" t="s">
        <v>59</v>
      </c>
    </row>
    <row r="18" customFormat="false" ht="15" hidden="false" customHeight="false" outlineLevel="0" collapsed="false">
      <c r="A18" s="3" t="s">
        <v>128</v>
      </c>
      <c r="B18" s="0" t="n">
        <v>1162477</v>
      </c>
      <c r="C18" s="3" t="s">
        <v>129</v>
      </c>
      <c r="D18" s="3" t="s">
        <v>62</v>
      </c>
      <c r="E18" s="3" t="s">
        <v>56</v>
      </c>
      <c r="F18" s="3" t="s">
        <v>130</v>
      </c>
      <c r="G18" s="3" t="s">
        <v>131</v>
      </c>
      <c r="H18" s="3" t="s">
        <v>59</v>
      </c>
    </row>
    <row r="19" customFormat="false" ht="15" hidden="false" customHeight="false" outlineLevel="0" collapsed="false">
      <c r="A19" s="3" t="s">
        <v>132</v>
      </c>
      <c r="B19" s="0" t="n">
        <v>143920</v>
      </c>
      <c r="C19" s="3" t="s">
        <v>102</v>
      </c>
      <c r="D19" s="3" t="s">
        <v>71</v>
      </c>
      <c r="E19" s="3" t="s">
        <v>72</v>
      </c>
      <c r="F19" s="3" t="s">
        <v>133</v>
      </c>
      <c r="G19" s="3" t="s">
        <v>134</v>
      </c>
      <c r="H19" s="3" t="s">
        <v>75</v>
      </c>
    </row>
    <row r="20" customFormat="false" ht="23.85" hidden="false" customHeight="false" outlineLevel="0" collapsed="false">
      <c r="A20" s="3" t="s">
        <v>135</v>
      </c>
      <c r="B20" s="0" t="n">
        <v>523633</v>
      </c>
      <c r="C20" s="3" t="s">
        <v>106</v>
      </c>
      <c r="D20" s="3" t="s">
        <v>78</v>
      </c>
      <c r="E20" s="3" t="s">
        <v>56</v>
      </c>
      <c r="F20" s="3" t="s">
        <v>136</v>
      </c>
      <c r="G20" s="3" t="s">
        <v>137</v>
      </c>
      <c r="H20" s="3" t="s">
        <v>59</v>
      </c>
    </row>
    <row r="21" customFormat="false" ht="15" hidden="false" customHeight="false" outlineLevel="0" collapsed="false">
      <c r="A21" s="3" t="s">
        <v>138</v>
      </c>
      <c r="B21" s="0" t="n">
        <v>338350</v>
      </c>
      <c r="C21" s="3" t="s">
        <v>61</v>
      </c>
      <c r="D21" s="3" t="s">
        <v>62</v>
      </c>
      <c r="E21" s="3" t="s">
        <v>56</v>
      </c>
      <c r="F21" s="3" t="s">
        <v>139</v>
      </c>
      <c r="G21" s="3" t="s">
        <v>140</v>
      </c>
      <c r="H21" s="3" t="s">
        <v>59</v>
      </c>
    </row>
    <row r="22" customFormat="false" ht="15" hidden="false" customHeight="false" outlineLevel="0" collapsed="false">
      <c r="A22" s="3" t="s">
        <v>141</v>
      </c>
      <c r="B22" s="0" t="n">
        <v>504605</v>
      </c>
      <c r="C22" s="3" t="s">
        <v>142</v>
      </c>
      <c r="D22" s="3" t="s">
        <v>83</v>
      </c>
      <c r="E22" s="3" t="s">
        <v>84</v>
      </c>
      <c r="F22" s="3" t="s">
        <v>143</v>
      </c>
      <c r="G22" s="3" t="s">
        <v>144</v>
      </c>
      <c r="H22" s="3" t="s">
        <v>87</v>
      </c>
    </row>
    <row r="23" customFormat="false" ht="23.85" hidden="false" customHeight="false" outlineLevel="0" collapsed="false">
      <c r="A23" s="3" t="s">
        <v>145</v>
      </c>
      <c r="B23" s="0" t="n">
        <v>176439</v>
      </c>
      <c r="C23" s="3" t="s">
        <v>77</v>
      </c>
      <c r="D23" s="3" t="s">
        <v>78</v>
      </c>
      <c r="E23" s="3" t="s">
        <v>56</v>
      </c>
      <c r="F23" s="3" t="s">
        <v>146</v>
      </c>
      <c r="G23" s="3" t="s">
        <v>147</v>
      </c>
      <c r="H23" s="3" t="s">
        <v>59</v>
      </c>
    </row>
    <row r="24" customFormat="false" ht="23.85" hidden="false" customHeight="false" outlineLevel="0" collapsed="false">
      <c r="A24" s="3" t="s">
        <v>148</v>
      </c>
      <c r="B24" s="0" t="n">
        <v>1037153</v>
      </c>
      <c r="C24" s="3" t="s">
        <v>149</v>
      </c>
      <c r="D24" s="3" t="s">
        <v>98</v>
      </c>
      <c r="E24" s="3" t="s">
        <v>56</v>
      </c>
      <c r="F24" s="3" t="s">
        <v>150</v>
      </c>
      <c r="G24" s="3" t="s">
        <v>151</v>
      </c>
      <c r="H24" s="3" t="s">
        <v>75</v>
      </c>
    </row>
    <row r="25" customFormat="false" ht="23.85" hidden="false" customHeight="false" outlineLevel="0" collapsed="false">
      <c r="A25" s="3" t="s">
        <v>152</v>
      </c>
      <c r="B25" s="0" t="n">
        <v>290322</v>
      </c>
      <c r="C25" s="3" t="s">
        <v>106</v>
      </c>
      <c r="D25" s="3" t="s">
        <v>78</v>
      </c>
      <c r="E25" s="3" t="s">
        <v>56</v>
      </c>
      <c r="F25" s="3" t="s">
        <v>153</v>
      </c>
      <c r="G25" s="3" t="s">
        <v>154</v>
      </c>
      <c r="H25" s="3" t="s">
        <v>59</v>
      </c>
    </row>
    <row r="26" customFormat="false" ht="15" hidden="false" customHeight="false" outlineLevel="0" collapsed="false">
      <c r="A26" s="3" t="s">
        <v>155</v>
      </c>
      <c r="B26" s="0" t="n">
        <v>221769</v>
      </c>
      <c r="C26" s="3" t="s">
        <v>61</v>
      </c>
      <c r="D26" s="3" t="s">
        <v>62</v>
      </c>
      <c r="E26" s="3" t="s">
        <v>56</v>
      </c>
      <c r="F26" s="3" t="s">
        <v>156</v>
      </c>
      <c r="G26" s="3" t="s">
        <v>157</v>
      </c>
      <c r="H26" s="3" t="s">
        <v>59</v>
      </c>
    </row>
    <row r="27" customFormat="false" ht="15" hidden="false" customHeight="false" outlineLevel="0" collapsed="false">
      <c r="A27" s="3" t="s">
        <v>158</v>
      </c>
      <c r="B27" s="0" t="n">
        <v>325312</v>
      </c>
      <c r="C27" s="3" t="s">
        <v>129</v>
      </c>
      <c r="D27" s="3" t="s">
        <v>62</v>
      </c>
      <c r="E27" s="3" t="s">
        <v>56</v>
      </c>
      <c r="F27" s="3" t="s">
        <v>159</v>
      </c>
      <c r="G27" s="3" t="s">
        <v>160</v>
      </c>
      <c r="H27" s="3" t="s">
        <v>59</v>
      </c>
    </row>
    <row r="28" customFormat="false" ht="23.85" hidden="false" customHeight="false" outlineLevel="0" collapsed="false">
      <c r="A28" s="3" t="s">
        <v>161</v>
      </c>
      <c r="B28" s="0" t="n">
        <v>129067</v>
      </c>
      <c r="C28" s="3" t="s">
        <v>162</v>
      </c>
      <c r="D28" s="3" t="s">
        <v>163</v>
      </c>
      <c r="E28" s="3" t="s">
        <v>56</v>
      </c>
      <c r="F28" s="3" t="s">
        <v>164</v>
      </c>
      <c r="G28" s="3" t="s">
        <v>165</v>
      </c>
      <c r="H28" s="3" t="s">
        <v>75</v>
      </c>
    </row>
    <row r="29" customFormat="false" ht="15" hidden="false" customHeight="false" outlineLevel="0" collapsed="false">
      <c r="A29" s="3" t="s">
        <v>166</v>
      </c>
      <c r="B29" s="0" t="n">
        <v>300990</v>
      </c>
      <c r="C29" s="3" t="s">
        <v>167</v>
      </c>
      <c r="D29" s="3" t="s">
        <v>168</v>
      </c>
      <c r="E29" s="3" t="s">
        <v>56</v>
      </c>
      <c r="F29" s="3" t="s">
        <v>169</v>
      </c>
      <c r="G29" s="3" t="s">
        <v>170</v>
      </c>
      <c r="H29" s="3" t="s">
        <v>59</v>
      </c>
    </row>
    <row r="30" customFormat="false" ht="15" hidden="false" customHeight="false" outlineLevel="0" collapsed="false">
      <c r="A30" s="3" t="s">
        <v>171</v>
      </c>
      <c r="B30" s="0" t="n">
        <v>370080</v>
      </c>
      <c r="C30" s="3" t="s">
        <v>110</v>
      </c>
      <c r="D30" s="3" t="s">
        <v>62</v>
      </c>
      <c r="E30" s="3" t="s">
        <v>56</v>
      </c>
      <c r="F30" s="3" t="s">
        <v>172</v>
      </c>
      <c r="G30" s="3" t="s">
        <v>173</v>
      </c>
      <c r="H30" s="3" t="s">
        <v>59</v>
      </c>
    </row>
    <row r="31" customFormat="false" ht="23.85" hidden="false" customHeight="false" outlineLevel="0" collapsed="false">
      <c r="A31" s="3" t="s">
        <v>174</v>
      </c>
      <c r="B31" s="0" t="n">
        <v>269091</v>
      </c>
      <c r="C31" s="3" t="s">
        <v>66</v>
      </c>
      <c r="D31" s="3" t="s">
        <v>55</v>
      </c>
      <c r="E31" s="3" t="s">
        <v>56</v>
      </c>
      <c r="F31" s="3" t="s">
        <v>175</v>
      </c>
      <c r="G31" s="3" t="s">
        <v>176</v>
      </c>
      <c r="H31" s="3" t="s">
        <v>59</v>
      </c>
    </row>
    <row r="32" customFormat="false" ht="23.85" hidden="false" customHeight="false" outlineLevel="0" collapsed="false">
      <c r="A32" s="3" t="s">
        <v>177</v>
      </c>
      <c r="B32" s="0" t="n">
        <v>470307</v>
      </c>
      <c r="C32" s="3" t="s">
        <v>178</v>
      </c>
      <c r="D32" s="3" t="s">
        <v>125</v>
      </c>
      <c r="E32" s="3" t="s">
        <v>72</v>
      </c>
      <c r="F32" s="3" t="s">
        <v>179</v>
      </c>
      <c r="G32" s="3" t="s">
        <v>180</v>
      </c>
      <c r="H32" s="3" t="s">
        <v>59</v>
      </c>
    </row>
    <row r="33" customFormat="false" ht="15" hidden="false" customHeight="false" outlineLevel="0" collapsed="false">
      <c r="A33" s="3" t="s">
        <v>181</v>
      </c>
      <c r="B33" s="0" t="n">
        <v>270576</v>
      </c>
      <c r="C33" s="3" t="s">
        <v>182</v>
      </c>
      <c r="D33" s="3" t="s">
        <v>168</v>
      </c>
      <c r="E33" s="3" t="s">
        <v>84</v>
      </c>
      <c r="F33" s="3" t="s">
        <v>183</v>
      </c>
      <c r="G33" s="3" t="s">
        <v>184</v>
      </c>
      <c r="H33" s="3" t="s">
        <v>59</v>
      </c>
    </row>
    <row r="34" customFormat="false" ht="23.85" hidden="false" customHeight="false" outlineLevel="0" collapsed="false">
      <c r="A34" s="3" t="s">
        <v>185</v>
      </c>
      <c r="B34" s="0" t="n">
        <v>72803</v>
      </c>
      <c r="C34" s="3" t="s">
        <v>186</v>
      </c>
      <c r="D34" s="3" t="s">
        <v>93</v>
      </c>
      <c r="E34" s="3" t="s">
        <v>56</v>
      </c>
      <c r="F34" s="3" t="s">
        <v>187</v>
      </c>
      <c r="G34" s="3" t="s">
        <v>188</v>
      </c>
      <c r="H34" s="3" t="s">
        <v>59</v>
      </c>
    </row>
    <row r="35" customFormat="false" ht="23.85" hidden="false" customHeight="false" outlineLevel="0" collapsed="false">
      <c r="A35" s="3" t="s">
        <v>189</v>
      </c>
      <c r="B35" s="0" t="n">
        <v>252193</v>
      </c>
      <c r="C35" s="3" t="s">
        <v>186</v>
      </c>
      <c r="D35" s="3" t="s">
        <v>93</v>
      </c>
      <c r="E35" s="3" t="s">
        <v>56</v>
      </c>
      <c r="F35" s="3" t="s">
        <v>190</v>
      </c>
      <c r="G35" s="3" t="s">
        <v>191</v>
      </c>
      <c r="H35" s="3" t="s">
        <v>59</v>
      </c>
    </row>
    <row r="36" customFormat="false" ht="23.85" hidden="false" customHeight="false" outlineLevel="0" collapsed="false">
      <c r="A36" s="3" t="s">
        <v>192</v>
      </c>
      <c r="B36" s="0" t="n">
        <v>416854</v>
      </c>
      <c r="C36" s="3" t="s">
        <v>193</v>
      </c>
      <c r="D36" s="3" t="s">
        <v>71</v>
      </c>
      <c r="E36" s="3" t="s">
        <v>72</v>
      </c>
      <c r="F36" s="3" t="s">
        <v>194</v>
      </c>
      <c r="G36" s="3" t="s">
        <v>144</v>
      </c>
      <c r="H36" s="3" t="s">
        <v>75</v>
      </c>
    </row>
    <row r="37" customFormat="false" ht="15" hidden="false" customHeight="false" outlineLevel="0" collapsed="false">
      <c r="A37" s="3" t="s">
        <v>195</v>
      </c>
      <c r="B37" s="0" t="n">
        <v>276744</v>
      </c>
      <c r="C37" s="3" t="s">
        <v>129</v>
      </c>
      <c r="D37" s="3" t="s">
        <v>62</v>
      </c>
      <c r="E37" s="3" t="s">
        <v>56</v>
      </c>
      <c r="F37" s="3" t="s">
        <v>196</v>
      </c>
      <c r="G37" s="3" t="s">
        <v>197</v>
      </c>
      <c r="H37" s="3" t="s">
        <v>59</v>
      </c>
    </row>
    <row r="38" customFormat="false" ht="15" hidden="false" customHeight="false" outlineLevel="0" collapsed="false">
      <c r="A38" s="3" t="s">
        <v>198</v>
      </c>
      <c r="B38" s="0" t="n">
        <v>438845</v>
      </c>
      <c r="C38" s="3" t="s">
        <v>110</v>
      </c>
      <c r="D38" s="3" t="s">
        <v>62</v>
      </c>
      <c r="E38" s="3" t="s">
        <v>56</v>
      </c>
      <c r="F38" s="3" t="s">
        <v>199</v>
      </c>
      <c r="G38" s="3" t="s">
        <v>200</v>
      </c>
      <c r="H38" s="3" t="s">
        <v>59</v>
      </c>
    </row>
    <row r="39" customFormat="false" ht="23.85" hidden="false" customHeight="false" outlineLevel="0" collapsed="false">
      <c r="A39" s="3" t="s">
        <v>201</v>
      </c>
      <c r="B39" s="0" t="n">
        <v>735772</v>
      </c>
      <c r="C39" s="3" t="s">
        <v>162</v>
      </c>
      <c r="D39" s="3" t="s">
        <v>163</v>
      </c>
      <c r="E39" s="3" t="s">
        <v>56</v>
      </c>
      <c r="F39" s="3" t="s">
        <v>202</v>
      </c>
      <c r="G39" s="3" t="s">
        <v>203</v>
      </c>
      <c r="H39" s="3" t="s">
        <v>75</v>
      </c>
    </row>
    <row r="40" customFormat="false" ht="23.85" hidden="false" customHeight="false" outlineLevel="0" collapsed="false">
      <c r="A40" s="3" t="s">
        <v>204</v>
      </c>
      <c r="B40" s="0" t="n">
        <v>191851</v>
      </c>
      <c r="C40" s="3" t="s">
        <v>193</v>
      </c>
      <c r="D40" s="3" t="s">
        <v>71</v>
      </c>
      <c r="E40" s="3" t="s">
        <v>72</v>
      </c>
      <c r="F40" s="3" t="s">
        <v>205</v>
      </c>
      <c r="G40" s="3" t="s">
        <v>206</v>
      </c>
      <c r="H40" s="3" t="s">
        <v>75</v>
      </c>
    </row>
    <row r="41" customFormat="false" ht="23.85" hidden="false" customHeight="false" outlineLevel="0" collapsed="false">
      <c r="A41" s="3" t="s">
        <v>207</v>
      </c>
      <c r="B41" s="0" t="n">
        <v>633290</v>
      </c>
      <c r="C41" s="3" t="s">
        <v>114</v>
      </c>
      <c r="D41" s="3" t="s">
        <v>83</v>
      </c>
      <c r="E41" s="3" t="s">
        <v>84</v>
      </c>
      <c r="F41" s="3" t="s">
        <v>208</v>
      </c>
      <c r="G41" s="3" t="s">
        <v>209</v>
      </c>
      <c r="H41" s="3" t="s">
        <v>87</v>
      </c>
    </row>
    <row r="42" customFormat="false" ht="23.85" hidden="false" customHeight="false" outlineLevel="0" collapsed="false">
      <c r="A42" s="3" t="s">
        <v>210</v>
      </c>
      <c r="B42" s="0" t="n">
        <v>673573</v>
      </c>
      <c r="C42" s="3" t="s">
        <v>54</v>
      </c>
      <c r="D42" s="3" t="s">
        <v>55</v>
      </c>
      <c r="E42" s="3" t="s">
        <v>56</v>
      </c>
      <c r="F42" s="3" t="s">
        <v>211</v>
      </c>
      <c r="G42" s="3" t="s">
        <v>212</v>
      </c>
      <c r="H42" s="3" t="s">
        <v>59</v>
      </c>
    </row>
    <row r="43" customFormat="false" ht="23.85" hidden="false" customHeight="false" outlineLevel="0" collapsed="false">
      <c r="A43" s="3" t="s">
        <v>213</v>
      </c>
      <c r="B43" s="0" t="n">
        <v>1048971</v>
      </c>
      <c r="C43" s="3" t="s">
        <v>214</v>
      </c>
      <c r="D43" s="3" t="s">
        <v>125</v>
      </c>
      <c r="E43" s="3" t="s">
        <v>56</v>
      </c>
      <c r="F43" s="3" t="s">
        <v>215</v>
      </c>
      <c r="G43" s="3" t="s">
        <v>216</v>
      </c>
      <c r="H43" s="3" t="s">
        <v>59</v>
      </c>
    </row>
    <row r="44" customFormat="false" ht="23.85" hidden="false" customHeight="false" outlineLevel="0" collapsed="false">
      <c r="A44" s="3" t="s">
        <v>217</v>
      </c>
      <c r="B44" s="0" t="n">
        <v>164893</v>
      </c>
      <c r="C44" s="3" t="s">
        <v>186</v>
      </c>
      <c r="D44" s="3" t="s">
        <v>93</v>
      </c>
      <c r="E44" s="3" t="s">
        <v>56</v>
      </c>
      <c r="F44" s="3" t="s">
        <v>218</v>
      </c>
      <c r="G44" s="3" t="s">
        <v>219</v>
      </c>
      <c r="H44" s="3" t="s">
        <v>59</v>
      </c>
    </row>
    <row r="45" customFormat="false" ht="23.85" hidden="false" customHeight="false" outlineLevel="0" collapsed="false">
      <c r="A45" s="3" t="s">
        <v>220</v>
      </c>
      <c r="B45" s="0" t="n">
        <v>297715</v>
      </c>
      <c r="C45" s="3" t="s">
        <v>221</v>
      </c>
      <c r="D45" s="3" t="s">
        <v>222</v>
      </c>
      <c r="E45" s="3" t="s">
        <v>72</v>
      </c>
      <c r="F45" s="3" t="s">
        <v>223</v>
      </c>
      <c r="G45" s="3" t="s">
        <v>224</v>
      </c>
      <c r="H45" s="3" t="s">
        <v>87</v>
      </c>
    </row>
    <row r="46" customFormat="false" ht="23.85" hidden="false" customHeight="false" outlineLevel="0" collapsed="false">
      <c r="A46" s="3" t="s">
        <v>225</v>
      </c>
      <c r="B46" s="0" t="n">
        <v>813685</v>
      </c>
      <c r="C46" s="3" t="s">
        <v>226</v>
      </c>
      <c r="D46" s="3" t="s">
        <v>62</v>
      </c>
      <c r="E46" s="3" t="s">
        <v>56</v>
      </c>
      <c r="F46" s="3" t="s">
        <v>227</v>
      </c>
      <c r="G46" s="3" t="s">
        <v>228</v>
      </c>
      <c r="H46" s="3" t="s">
        <v>59</v>
      </c>
    </row>
    <row r="47" customFormat="false" ht="15" hidden="false" customHeight="false" outlineLevel="0" collapsed="false">
      <c r="A47" s="3" t="s">
        <v>229</v>
      </c>
      <c r="B47" s="0" t="n">
        <v>88201</v>
      </c>
      <c r="C47" s="3" t="s">
        <v>102</v>
      </c>
      <c r="D47" s="3" t="s">
        <v>71</v>
      </c>
      <c r="E47" s="3" t="s">
        <v>72</v>
      </c>
      <c r="F47" s="3" t="s">
        <v>230</v>
      </c>
      <c r="G47" s="3" t="s">
        <v>231</v>
      </c>
      <c r="H47" s="3" t="s">
        <v>75</v>
      </c>
    </row>
    <row r="48" customFormat="false" ht="23.85" hidden="false" customHeight="false" outlineLevel="0" collapsed="false">
      <c r="A48" s="3" t="s">
        <v>232</v>
      </c>
      <c r="B48" s="0" t="n">
        <v>743562</v>
      </c>
      <c r="C48" s="3" t="s">
        <v>214</v>
      </c>
      <c r="D48" s="3" t="s">
        <v>125</v>
      </c>
      <c r="E48" s="3" t="s">
        <v>56</v>
      </c>
      <c r="F48" s="3" t="s">
        <v>233</v>
      </c>
      <c r="G48" s="3" t="s">
        <v>234</v>
      </c>
      <c r="H48" s="3" t="s">
        <v>59</v>
      </c>
    </row>
    <row r="49" customFormat="false" ht="23.85" hidden="false" customHeight="false" outlineLevel="0" collapsed="false">
      <c r="A49" s="3" t="s">
        <v>235</v>
      </c>
      <c r="B49" s="0" t="n">
        <v>437553</v>
      </c>
      <c r="C49" s="3" t="s">
        <v>92</v>
      </c>
      <c r="D49" s="3" t="s">
        <v>93</v>
      </c>
      <c r="E49" s="3" t="s">
        <v>56</v>
      </c>
      <c r="F49" s="3" t="s">
        <v>236</v>
      </c>
      <c r="G49" s="3" t="s">
        <v>237</v>
      </c>
      <c r="H49" s="3" t="s">
        <v>59</v>
      </c>
    </row>
    <row r="50" customFormat="false" ht="23.85" hidden="false" customHeight="false" outlineLevel="0" collapsed="false">
      <c r="A50" s="3" t="s">
        <v>238</v>
      </c>
      <c r="B50" s="0" t="n">
        <v>1254195</v>
      </c>
      <c r="C50" s="3" t="s">
        <v>77</v>
      </c>
      <c r="D50" s="3" t="s">
        <v>78</v>
      </c>
      <c r="E50" s="3" t="s">
        <v>56</v>
      </c>
      <c r="F50" s="3" t="s">
        <v>239</v>
      </c>
      <c r="G50" s="3" t="s">
        <v>240</v>
      </c>
      <c r="H50" s="3" t="s">
        <v>59</v>
      </c>
    </row>
    <row r="51" customFormat="false" ht="23.85" hidden="false" customHeight="false" outlineLevel="0" collapsed="false">
      <c r="A51" s="3" t="s">
        <v>241</v>
      </c>
      <c r="B51" s="0" t="n">
        <v>198301</v>
      </c>
      <c r="C51" s="3" t="s">
        <v>226</v>
      </c>
      <c r="D51" s="3" t="s">
        <v>62</v>
      </c>
      <c r="E51" s="3" t="s">
        <v>56</v>
      </c>
      <c r="F51" s="3" t="s">
        <v>242</v>
      </c>
      <c r="G51" s="3" t="s">
        <v>243</v>
      </c>
      <c r="H51" s="3" t="s">
        <v>59</v>
      </c>
    </row>
    <row r="52" customFormat="false" ht="15" hidden="false" customHeight="false" outlineLevel="0" collapsed="false">
      <c r="A52" s="3" t="s">
        <v>244</v>
      </c>
      <c r="B52" s="0" t="n">
        <v>94384</v>
      </c>
      <c r="C52" s="3" t="s">
        <v>167</v>
      </c>
      <c r="D52" s="3" t="s">
        <v>168</v>
      </c>
      <c r="E52" s="3" t="s">
        <v>56</v>
      </c>
      <c r="F52" s="3" t="s">
        <v>245</v>
      </c>
      <c r="G52" s="3" t="s">
        <v>246</v>
      </c>
      <c r="H52" s="3" t="s">
        <v>59</v>
      </c>
    </row>
    <row r="53" customFormat="false" ht="15" hidden="false" customHeight="false" outlineLevel="0" collapsed="false">
      <c r="A53" s="3" t="s">
        <v>247</v>
      </c>
      <c r="B53" s="0" t="n">
        <v>122024</v>
      </c>
      <c r="C53" s="3" t="s">
        <v>167</v>
      </c>
      <c r="D53" s="3" t="s">
        <v>168</v>
      </c>
      <c r="E53" s="3" t="s">
        <v>56</v>
      </c>
      <c r="F53" s="3" t="s">
        <v>248</v>
      </c>
      <c r="G53" s="3" t="s">
        <v>249</v>
      </c>
      <c r="H53" s="3" t="s">
        <v>59</v>
      </c>
    </row>
    <row r="54" customFormat="false" ht="15" hidden="false" customHeight="false" outlineLevel="0" collapsed="false">
      <c r="A54" s="3" t="s">
        <v>250</v>
      </c>
      <c r="B54" s="0" t="n">
        <v>125687</v>
      </c>
      <c r="C54" s="3" t="s">
        <v>167</v>
      </c>
      <c r="D54" s="3" t="s">
        <v>168</v>
      </c>
      <c r="E54" s="3" t="s">
        <v>56</v>
      </c>
      <c r="F54" s="3" t="s">
        <v>211</v>
      </c>
      <c r="G54" s="3" t="s">
        <v>212</v>
      </c>
      <c r="H54" s="3" t="s">
        <v>59</v>
      </c>
    </row>
    <row r="55" customFormat="false" ht="23.85" hidden="false" customHeight="false" outlineLevel="0" collapsed="false">
      <c r="A55" s="3" t="s">
        <v>251</v>
      </c>
      <c r="B55" s="0" t="n">
        <v>126659</v>
      </c>
      <c r="C55" s="3" t="s">
        <v>106</v>
      </c>
      <c r="D55" s="3" t="s">
        <v>78</v>
      </c>
      <c r="E55" s="3" t="s">
        <v>56</v>
      </c>
      <c r="F55" s="3" t="s">
        <v>252</v>
      </c>
      <c r="G55" s="3" t="s">
        <v>253</v>
      </c>
      <c r="H55" s="3" t="s">
        <v>59</v>
      </c>
    </row>
    <row r="56" customFormat="false" ht="23.85" hidden="false" customHeight="false" outlineLevel="0" collapsed="false">
      <c r="A56" s="3" t="s">
        <v>254</v>
      </c>
      <c r="B56" s="0" t="n">
        <v>432331</v>
      </c>
      <c r="C56" s="3" t="s">
        <v>149</v>
      </c>
      <c r="D56" s="3" t="s">
        <v>98</v>
      </c>
      <c r="E56" s="3" t="s">
        <v>56</v>
      </c>
      <c r="F56" s="3" t="s">
        <v>255</v>
      </c>
      <c r="G56" s="3" t="s">
        <v>256</v>
      </c>
      <c r="H56" s="3" t="s">
        <v>75</v>
      </c>
    </row>
    <row r="57" customFormat="false" ht="23.85" hidden="false" customHeight="false" outlineLevel="0" collapsed="false">
      <c r="A57" s="3" t="s">
        <v>257</v>
      </c>
      <c r="B57" s="0" t="n">
        <v>469632</v>
      </c>
      <c r="C57" s="3" t="s">
        <v>178</v>
      </c>
      <c r="D57" s="3" t="s">
        <v>125</v>
      </c>
      <c r="E57" s="3" t="s">
        <v>72</v>
      </c>
      <c r="F57" s="3" t="s">
        <v>258</v>
      </c>
      <c r="G57" s="3" t="s">
        <v>259</v>
      </c>
      <c r="H57" s="3" t="s">
        <v>59</v>
      </c>
    </row>
    <row r="58" customFormat="false" ht="23.85" hidden="false" customHeight="false" outlineLevel="0" collapsed="false">
      <c r="A58" s="3" t="s">
        <v>260</v>
      </c>
      <c r="B58" s="0" t="n">
        <v>561825</v>
      </c>
      <c r="C58" s="3" t="s">
        <v>106</v>
      </c>
      <c r="D58" s="3" t="s">
        <v>78</v>
      </c>
      <c r="E58" s="3" t="s">
        <v>56</v>
      </c>
      <c r="F58" s="3" t="s">
        <v>164</v>
      </c>
      <c r="G58" s="3" t="s">
        <v>165</v>
      </c>
      <c r="H58" s="3" t="s">
        <v>59</v>
      </c>
    </row>
    <row r="59" customFormat="false" ht="15" hidden="false" customHeight="false" outlineLevel="0" collapsed="false">
      <c r="A59" s="3" t="s">
        <v>261</v>
      </c>
      <c r="B59" s="0" t="n">
        <v>419338</v>
      </c>
      <c r="C59" s="3" t="s">
        <v>110</v>
      </c>
      <c r="D59" s="3" t="s">
        <v>62</v>
      </c>
      <c r="E59" s="3" t="s">
        <v>56</v>
      </c>
      <c r="F59" s="3" t="s">
        <v>63</v>
      </c>
      <c r="G59" s="3" t="s">
        <v>64</v>
      </c>
      <c r="H59" s="3" t="s">
        <v>59</v>
      </c>
    </row>
    <row r="60" customFormat="false" ht="23.85" hidden="false" customHeight="false" outlineLevel="0" collapsed="false">
      <c r="A60" s="3" t="s">
        <v>262</v>
      </c>
      <c r="B60" s="0" t="n">
        <v>232734</v>
      </c>
      <c r="C60" s="3" t="s">
        <v>54</v>
      </c>
      <c r="D60" s="3" t="s">
        <v>55</v>
      </c>
      <c r="E60" s="3" t="s">
        <v>56</v>
      </c>
      <c r="F60" s="3" t="s">
        <v>263</v>
      </c>
      <c r="G60" s="3" t="s">
        <v>264</v>
      </c>
      <c r="H60" s="3" t="s">
        <v>59</v>
      </c>
    </row>
    <row r="61" customFormat="false" ht="15" hidden="false" customHeight="false" outlineLevel="0" collapsed="false">
      <c r="A61" s="3" t="s">
        <v>265</v>
      </c>
      <c r="B61" s="0" t="n">
        <v>130581</v>
      </c>
      <c r="C61" s="3" t="s">
        <v>102</v>
      </c>
      <c r="D61" s="3" t="s">
        <v>71</v>
      </c>
      <c r="E61" s="3" t="s">
        <v>72</v>
      </c>
      <c r="F61" s="3" t="s">
        <v>266</v>
      </c>
      <c r="G61" s="3" t="s">
        <v>267</v>
      </c>
      <c r="H61" s="3" t="s">
        <v>75</v>
      </c>
    </row>
    <row r="62" customFormat="false" ht="23.85" hidden="false" customHeight="false" outlineLevel="0" collapsed="false">
      <c r="A62" s="3" t="s">
        <v>268</v>
      </c>
      <c r="B62" s="0" t="n">
        <v>425986</v>
      </c>
      <c r="C62" s="3" t="s">
        <v>106</v>
      </c>
      <c r="D62" s="3" t="s">
        <v>78</v>
      </c>
      <c r="E62" s="3" t="s">
        <v>56</v>
      </c>
      <c r="F62" s="3" t="s">
        <v>269</v>
      </c>
      <c r="G62" s="3" t="s">
        <v>270</v>
      </c>
      <c r="H62" s="3" t="s">
        <v>59</v>
      </c>
    </row>
    <row r="63" customFormat="false" ht="23.85" hidden="false" customHeight="false" outlineLevel="0" collapsed="false">
      <c r="A63" s="3" t="s">
        <v>271</v>
      </c>
      <c r="B63" s="0" t="n">
        <v>961690</v>
      </c>
      <c r="C63" s="3" t="s">
        <v>214</v>
      </c>
      <c r="D63" s="3" t="s">
        <v>125</v>
      </c>
      <c r="E63" s="3" t="s">
        <v>56</v>
      </c>
      <c r="F63" s="3" t="s">
        <v>272</v>
      </c>
      <c r="G63" s="3" t="s">
        <v>273</v>
      </c>
      <c r="H63" s="3" t="s">
        <v>59</v>
      </c>
    </row>
    <row r="64" customFormat="false" ht="23.85" hidden="false" customHeight="false" outlineLevel="0" collapsed="false">
      <c r="A64" s="3" t="s">
        <v>274</v>
      </c>
      <c r="B64" s="0" t="n">
        <v>1171719</v>
      </c>
      <c r="C64" s="3" t="s">
        <v>162</v>
      </c>
      <c r="D64" s="3" t="s">
        <v>163</v>
      </c>
      <c r="E64" s="3" t="s">
        <v>56</v>
      </c>
      <c r="F64" s="3" t="s">
        <v>275</v>
      </c>
      <c r="G64" s="3" t="s">
        <v>276</v>
      </c>
      <c r="H64" s="3" t="s">
        <v>75</v>
      </c>
    </row>
    <row r="65" customFormat="false" ht="23.85" hidden="false" customHeight="false" outlineLevel="0" collapsed="false">
      <c r="A65" s="3" t="s">
        <v>277</v>
      </c>
      <c r="B65" s="0" t="n">
        <v>132964</v>
      </c>
      <c r="C65" s="3" t="s">
        <v>54</v>
      </c>
      <c r="D65" s="3" t="s">
        <v>55</v>
      </c>
      <c r="E65" s="3" t="s">
        <v>56</v>
      </c>
      <c r="F65" s="3" t="s">
        <v>278</v>
      </c>
      <c r="G65" s="3" t="s">
        <v>279</v>
      </c>
      <c r="H65" s="3" t="s">
        <v>59</v>
      </c>
    </row>
    <row r="66" customFormat="false" ht="23.85" hidden="false" customHeight="false" outlineLevel="0" collapsed="false">
      <c r="A66" s="3" t="s">
        <v>280</v>
      </c>
      <c r="B66" s="0" t="n">
        <v>207187</v>
      </c>
      <c r="C66" s="3" t="s">
        <v>77</v>
      </c>
      <c r="D66" s="3" t="s">
        <v>78</v>
      </c>
      <c r="E66" s="3" t="s">
        <v>56</v>
      </c>
      <c r="F66" s="3" t="s">
        <v>281</v>
      </c>
      <c r="G66" s="3" t="s">
        <v>282</v>
      </c>
      <c r="H66" s="3" t="s">
        <v>59</v>
      </c>
    </row>
    <row r="67" customFormat="false" ht="23.85" hidden="false" customHeight="false" outlineLevel="0" collapsed="false">
      <c r="A67" s="3" t="s">
        <v>283</v>
      </c>
      <c r="B67" s="0" t="n">
        <v>322906</v>
      </c>
      <c r="C67" s="3" t="s">
        <v>149</v>
      </c>
      <c r="D67" s="3" t="s">
        <v>98</v>
      </c>
      <c r="E67" s="3" t="s">
        <v>56</v>
      </c>
      <c r="F67" s="3" t="s">
        <v>284</v>
      </c>
      <c r="G67" s="3" t="s">
        <v>285</v>
      </c>
      <c r="H67" s="3" t="s">
        <v>75</v>
      </c>
    </row>
    <row r="68" customFormat="false" ht="23.85" hidden="false" customHeight="false" outlineLevel="0" collapsed="false">
      <c r="A68" s="3" t="s">
        <v>286</v>
      </c>
      <c r="B68" s="0" t="n">
        <v>309369</v>
      </c>
      <c r="C68" s="3" t="s">
        <v>221</v>
      </c>
      <c r="D68" s="3" t="s">
        <v>222</v>
      </c>
      <c r="E68" s="3" t="s">
        <v>72</v>
      </c>
      <c r="F68" s="3" t="s">
        <v>287</v>
      </c>
      <c r="G68" s="3" t="s">
        <v>288</v>
      </c>
      <c r="H68" s="3" t="s">
        <v>87</v>
      </c>
    </row>
    <row r="69" customFormat="false" ht="23.85" hidden="false" customHeight="false" outlineLevel="0" collapsed="false">
      <c r="A69" s="3" t="s">
        <v>289</v>
      </c>
      <c r="B69" s="0" t="n">
        <v>1320365</v>
      </c>
      <c r="C69" s="3" t="s">
        <v>114</v>
      </c>
      <c r="D69" s="3" t="s">
        <v>83</v>
      </c>
      <c r="E69" s="3" t="s">
        <v>84</v>
      </c>
      <c r="F69" s="3" t="s">
        <v>290</v>
      </c>
      <c r="G69" s="3" t="s">
        <v>291</v>
      </c>
      <c r="H69" s="3" t="s">
        <v>87</v>
      </c>
    </row>
    <row r="70" customFormat="false" ht="15" hidden="false" customHeight="false" outlineLevel="0" collapsed="false">
      <c r="A70" s="3" t="s">
        <v>292</v>
      </c>
      <c r="B70" s="0" t="n">
        <v>102892</v>
      </c>
      <c r="C70" s="3" t="s">
        <v>293</v>
      </c>
      <c r="D70" s="3" t="s">
        <v>294</v>
      </c>
      <c r="E70" s="3" t="s">
        <v>56</v>
      </c>
      <c r="F70" s="3" t="s">
        <v>295</v>
      </c>
      <c r="G70" s="3" t="s">
        <v>296</v>
      </c>
      <c r="H70" s="3" t="s">
        <v>75</v>
      </c>
    </row>
    <row r="71" customFormat="false" ht="15" hidden="false" customHeight="false" outlineLevel="0" collapsed="false">
      <c r="A71" s="3" t="s">
        <v>297</v>
      </c>
      <c r="B71" s="0" t="n">
        <v>317654</v>
      </c>
      <c r="C71" s="3" t="s">
        <v>110</v>
      </c>
      <c r="D71" s="3" t="s">
        <v>62</v>
      </c>
      <c r="E71" s="3" t="s">
        <v>56</v>
      </c>
      <c r="F71" s="3" t="s">
        <v>298</v>
      </c>
      <c r="G71" s="3" t="s">
        <v>299</v>
      </c>
      <c r="H71" s="3" t="s">
        <v>59</v>
      </c>
    </row>
    <row r="72" customFormat="false" ht="15" hidden="false" customHeight="false" outlineLevel="0" collapsed="false">
      <c r="A72" s="3" t="s">
        <v>300</v>
      </c>
      <c r="B72" s="0" t="n">
        <v>129677</v>
      </c>
      <c r="C72" s="3" t="s">
        <v>142</v>
      </c>
      <c r="D72" s="3" t="s">
        <v>83</v>
      </c>
      <c r="E72" s="3" t="s">
        <v>84</v>
      </c>
      <c r="F72" s="3" t="s">
        <v>301</v>
      </c>
      <c r="G72" s="3" t="s">
        <v>302</v>
      </c>
      <c r="H72" s="3" t="s">
        <v>87</v>
      </c>
    </row>
    <row r="73" customFormat="false" ht="23.85" hidden="false" customHeight="false" outlineLevel="0" collapsed="false">
      <c r="A73" s="3" t="s">
        <v>303</v>
      </c>
      <c r="B73" s="0" t="n">
        <v>489992</v>
      </c>
      <c r="C73" s="3" t="s">
        <v>214</v>
      </c>
      <c r="D73" s="3" t="s">
        <v>125</v>
      </c>
      <c r="E73" s="3" t="s">
        <v>56</v>
      </c>
      <c r="F73" s="3" t="s">
        <v>304</v>
      </c>
      <c r="G73" s="3" t="s">
        <v>305</v>
      </c>
      <c r="H73" s="3" t="s">
        <v>59</v>
      </c>
    </row>
    <row r="74" customFormat="false" ht="23.85" hidden="false" customHeight="false" outlineLevel="0" collapsed="false">
      <c r="A74" s="3" t="s">
        <v>306</v>
      </c>
      <c r="B74" s="0" t="n">
        <v>1204133</v>
      </c>
      <c r="C74" s="3" t="s">
        <v>178</v>
      </c>
      <c r="D74" s="3" t="s">
        <v>125</v>
      </c>
      <c r="E74" s="3" t="s">
        <v>72</v>
      </c>
      <c r="F74" s="3" t="s">
        <v>307</v>
      </c>
      <c r="G74" s="3" t="s">
        <v>308</v>
      </c>
      <c r="H74" s="3" t="s">
        <v>59</v>
      </c>
    </row>
    <row r="75" customFormat="false" ht="15" hidden="false" customHeight="false" outlineLevel="0" collapsed="false">
      <c r="A75" s="3" t="s">
        <v>309</v>
      </c>
      <c r="B75" s="0" t="n">
        <v>561470</v>
      </c>
      <c r="C75" s="3" t="s">
        <v>97</v>
      </c>
      <c r="D75" s="3" t="s">
        <v>98</v>
      </c>
      <c r="E75" s="3" t="s">
        <v>72</v>
      </c>
      <c r="F75" s="3" t="s">
        <v>310</v>
      </c>
      <c r="G75" s="3" t="s">
        <v>311</v>
      </c>
      <c r="H75" s="3" t="s">
        <v>75</v>
      </c>
    </row>
    <row r="76" customFormat="false" ht="23.85" hidden="false" customHeight="false" outlineLevel="0" collapsed="false">
      <c r="A76" s="3" t="s">
        <v>312</v>
      </c>
      <c r="B76" s="0" t="n">
        <v>159233</v>
      </c>
      <c r="C76" s="3" t="s">
        <v>54</v>
      </c>
      <c r="D76" s="3" t="s">
        <v>55</v>
      </c>
      <c r="E76" s="3" t="s">
        <v>56</v>
      </c>
      <c r="F76" s="3" t="s">
        <v>313</v>
      </c>
      <c r="G76" s="3" t="s">
        <v>314</v>
      </c>
      <c r="H76" s="3" t="s">
        <v>59</v>
      </c>
    </row>
    <row r="77" customFormat="false" ht="23.85" hidden="false" customHeight="false" outlineLevel="0" collapsed="false">
      <c r="A77" s="3" t="s">
        <v>315</v>
      </c>
      <c r="B77" s="0" t="n">
        <v>754880</v>
      </c>
      <c r="C77" s="3" t="s">
        <v>77</v>
      </c>
      <c r="D77" s="3" t="s">
        <v>78</v>
      </c>
      <c r="E77" s="3" t="s">
        <v>56</v>
      </c>
      <c r="F77" s="3" t="s">
        <v>316</v>
      </c>
      <c r="G77" s="3" t="s">
        <v>317</v>
      </c>
      <c r="H77" s="3" t="s">
        <v>59</v>
      </c>
    </row>
    <row r="78" customFormat="false" ht="15" hidden="false" customHeight="false" outlineLevel="0" collapsed="false">
      <c r="A78" s="3" t="s">
        <v>318</v>
      </c>
      <c r="B78" s="0" t="n">
        <v>176323</v>
      </c>
      <c r="C78" s="3" t="s">
        <v>182</v>
      </c>
      <c r="D78" s="3" t="s">
        <v>168</v>
      </c>
      <c r="E78" s="3" t="s">
        <v>84</v>
      </c>
      <c r="F78" s="3" t="s">
        <v>319</v>
      </c>
      <c r="G78" s="3" t="s">
        <v>320</v>
      </c>
      <c r="H78" s="3" t="s">
        <v>59</v>
      </c>
    </row>
    <row r="79" customFormat="false" ht="23.85" hidden="false" customHeight="false" outlineLevel="0" collapsed="false">
      <c r="A79" s="3" t="s">
        <v>321</v>
      </c>
      <c r="B79" s="0" t="n">
        <v>332162</v>
      </c>
      <c r="C79" s="3" t="s">
        <v>226</v>
      </c>
      <c r="D79" s="3" t="s">
        <v>62</v>
      </c>
      <c r="E79" s="3" t="s">
        <v>56</v>
      </c>
      <c r="F79" s="3" t="s">
        <v>322</v>
      </c>
      <c r="G79" s="3" t="s">
        <v>323</v>
      </c>
      <c r="H79" s="3" t="s">
        <v>59</v>
      </c>
    </row>
    <row r="80" customFormat="false" ht="23.85" hidden="false" customHeight="false" outlineLevel="0" collapsed="false">
      <c r="A80" s="3" t="s">
        <v>324</v>
      </c>
      <c r="B80" s="0" t="n">
        <v>284020</v>
      </c>
      <c r="C80" s="3" t="s">
        <v>106</v>
      </c>
      <c r="D80" s="3" t="s">
        <v>78</v>
      </c>
      <c r="E80" s="3" t="s">
        <v>56</v>
      </c>
      <c r="F80" s="3" t="s">
        <v>325</v>
      </c>
      <c r="G80" s="3" t="s">
        <v>326</v>
      </c>
      <c r="H80" s="3" t="s">
        <v>59</v>
      </c>
    </row>
    <row r="81" customFormat="false" ht="23.85" hidden="false" customHeight="false" outlineLevel="0" collapsed="false">
      <c r="A81" s="3" t="s">
        <v>327</v>
      </c>
      <c r="B81" s="0" t="n">
        <v>287407</v>
      </c>
      <c r="C81" s="3" t="s">
        <v>106</v>
      </c>
      <c r="D81" s="3" t="s">
        <v>78</v>
      </c>
      <c r="E81" s="3" t="s">
        <v>56</v>
      </c>
      <c r="F81" s="3" t="s">
        <v>328</v>
      </c>
      <c r="G81" s="3" t="s">
        <v>329</v>
      </c>
      <c r="H81" s="3" t="s">
        <v>59</v>
      </c>
    </row>
    <row r="82" customFormat="false" ht="23.85" hidden="false" customHeight="false" outlineLevel="0" collapsed="false">
      <c r="A82" s="3" t="s">
        <v>330</v>
      </c>
      <c r="B82" s="0" t="n">
        <v>208166</v>
      </c>
      <c r="C82" s="3" t="s">
        <v>226</v>
      </c>
      <c r="D82" s="3" t="s">
        <v>62</v>
      </c>
      <c r="E82" s="3" t="s">
        <v>56</v>
      </c>
      <c r="F82" s="3" t="s">
        <v>331</v>
      </c>
      <c r="G82" s="3" t="s">
        <v>332</v>
      </c>
      <c r="H82" s="3" t="s">
        <v>59</v>
      </c>
    </row>
    <row r="83" customFormat="false" ht="15" hidden="false" customHeight="false" outlineLevel="0" collapsed="false">
      <c r="A83" s="3" t="s">
        <v>333</v>
      </c>
      <c r="B83" s="0" t="n">
        <v>148695</v>
      </c>
      <c r="C83" s="3" t="s">
        <v>334</v>
      </c>
      <c r="D83" s="3" t="s">
        <v>294</v>
      </c>
      <c r="E83" s="3" t="s">
        <v>72</v>
      </c>
      <c r="F83" s="3" t="s">
        <v>335</v>
      </c>
      <c r="G83" s="3" t="s">
        <v>336</v>
      </c>
      <c r="H83" s="3" t="s">
        <v>75</v>
      </c>
    </row>
    <row r="84" customFormat="false" ht="15" hidden="false" customHeight="false" outlineLevel="0" collapsed="false">
      <c r="A84" s="3" t="s">
        <v>337</v>
      </c>
      <c r="B84" s="0" t="n">
        <v>960121</v>
      </c>
      <c r="C84" s="3" t="s">
        <v>142</v>
      </c>
      <c r="D84" s="3" t="s">
        <v>83</v>
      </c>
      <c r="E84" s="3" t="s">
        <v>84</v>
      </c>
      <c r="F84" s="3" t="s">
        <v>338</v>
      </c>
      <c r="G84" s="3" t="s">
        <v>339</v>
      </c>
      <c r="H84" s="3" t="s">
        <v>87</v>
      </c>
    </row>
    <row r="85" customFormat="false" ht="15" hidden="false" customHeight="false" outlineLevel="0" collapsed="false">
      <c r="A85" s="3" t="s">
        <v>340</v>
      </c>
      <c r="B85" s="0" t="n">
        <v>164265</v>
      </c>
      <c r="C85" s="3" t="s">
        <v>61</v>
      </c>
      <c r="D85" s="3" t="s">
        <v>62</v>
      </c>
      <c r="E85" s="3" t="s">
        <v>56</v>
      </c>
      <c r="F85" s="3" t="s">
        <v>341</v>
      </c>
      <c r="G85" s="3" t="s">
        <v>342</v>
      </c>
      <c r="H85" s="3" t="s">
        <v>59</v>
      </c>
    </row>
    <row r="86" customFormat="false" ht="15" hidden="false" customHeight="false" outlineLevel="0" collapsed="false">
      <c r="A86" s="3" t="s">
        <v>343</v>
      </c>
      <c r="B86" s="0" t="n">
        <v>337683</v>
      </c>
      <c r="C86" s="3" t="s">
        <v>110</v>
      </c>
      <c r="D86" s="3" t="s">
        <v>62</v>
      </c>
      <c r="E86" s="3" t="s">
        <v>56</v>
      </c>
      <c r="F86" s="3" t="s">
        <v>344</v>
      </c>
      <c r="G86" s="3" t="s">
        <v>345</v>
      </c>
      <c r="H86" s="3" t="s">
        <v>59</v>
      </c>
    </row>
    <row r="87" customFormat="false" ht="23.85" hidden="false" customHeight="false" outlineLevel="0" collapsed="false">
      <c r="A87" s="3" t="s">
        <v>346</v>
      </c>
      <c r="B87" s="0" t="n">
        <v>605090</v>
      </c>
      <c r="C87" s="3" t="s">
        <v>149</v>
      </c>
      <c r="D87" s="3" t="s">
        <v>98</v>
      </c>
      <c r="E87" s="3" t="s">
        <v>56</v>
      </c>
      <c r="F87" s="3" t="s">
        <v>347</v>
      </c>
      <c r="G87" s="3" t="s">
        <v>348</v>
      </c>
      <c r="H87" s="3" t="s">
        <v>75</v>
      </c>
    </row>
    <row r="88" customFormat="false" ht="15" hidden="false" customHeight="false" outlineLevel="0" collapsed="false">
      <c r="A88" s="3" t="s">
        <v>349</v>
      </c>
      <c r="B88" s="0" t="n">
        <v>633456</v>
      </c>
      <c r="C88" s="3" t="s">
        <v>350</v>
      </c>
      <c r="D88" s="3" t="s">
        <v>83</v>
      </c>
      <c r="E88" s="3" t="s">
        <v>84</v>
      </c>
      <c r="F88" s="3" t="s">
        <v>351</v>
      </c>
      <c r="G88" s="3" t="s">
        <v>352</v>
      </c>
      <c r="H88" s="3" t="s">
        <v>87</v>
      </c>
    </row>
    <row r="89" customFormat="false" ht="23.85" hidden="false" customHeight="false" outlineLevel="0" collapsed="false">
      <c r="A89" s="3" t="s">
        <v>353</v>
      </c>
      <c r="B89" s="0" t="n">
        <v>1023809</v>
      </c>
      <c r="C89" s="3" t="s">
        <v>149</v>
      </c>
      <c r="D89" s="3" t="s">
        <v>98</v>
      </c>
      <c r="E89" s="3" t="s">
        <v>56</v>
      </c>
      <c r="F89" s="3" t="s">
        <v>354</v>
      </c>
      <c r="G89" s="3" t="s">
        <v>355</v>
      </c>
      <c r="H89" s="3" t="s">
        <v>75</v>
      </c>
    </row>
    <row r="90" customFormat="false" ht="15" hidden="false" customHeight="false" outlineLevel="0" collapsed="false">
      <c r="A90" s="3" t="s">
        <v>356</v>
      </c>
      <c r="B90" s="0" t="n">
        <v>433734</v>
      </c>
      <c r="C90" s="3" t="s">
        <v>182</v>
      </c>
      <c r="D90" s="3" t="s">
        <v>168</v>
      </c>
      <c r="E90" s="3" t="s">
        <v>84</v>
      </c>
      <c r="F90" s="3" t="s">
        <v>357</v>
      </c>
      <c r="G90" s="3" t="s">
        <v>358</v>
      </c>
      <c r="H90" s="3" t="s">
        <v>59</v>
      </c>
    </row>
    <row r="91" customFormat="false" ht="23.85" hidden="false" customHeight="false" outlineLevel="0" collapsed="false">
      <c r="A91" s="3" t="s">
        <v>359</v>
      </c>
      <c r="B91" s="0" t="n">
        <v>494987</v>
      </c>
      <c r="C91" s="3" t="s">
        <v>124</v>
      </c>
      <c r="D91" s="3" t="s">
        <v>125</v>
      </c>
      <c r="E91" s="3" t="s">
        <v>72</v>
      </c>
      <c r="F91" s="3" t="s">
        <v>360</v>
      </c>
      <c r="G91" s="3" t="s">
        <v>361</v>
      </c>
      <c r="H91" s="3" t="s">
        <v>59</v>
      </c>
    </row>
    <row r="92" customFormat="false" ht="15" hidden="false" customHeight="false" outlineLevel="0" collapsed="false">
      <c r="A92" s="3" t="s">
        <v>362</v>
      </c>
      <c r="B92" s="0" t="n">
        <v>253818</v>
      </c>
      <c r="C92" s="3" t="s">
        <v>61</v>
      </c>
      <c r="D92" s="3" t="s">
        <v>62</v>
      </c>
      <c r="E92" s="3" t="s">
        <v>56</v>
      </c>
      <c r="F92" s="3" t="s">
        <v>363</v>
      </c>
      <c r="G92" s="3" t="s">
        <v>364</v>
      </c>
      <c r="H92" s="3" t="s">
        <v>59</v>
      </c>
    </row>
    <row r="93" customFormat="false" ht="15" hidden="false" customHeight="false" outlineLevel="0" collapsed="false">
      <c r="A93" s="3" t="s">
        <v>365</v>
      </c>
      <c r="B93" s="0" t="n">
        <v>825948</v>
      </c>
      <c r="C93" s="3" t="s">
        <v>366</v>
      </c>
      <c r="D93" s="3" t="s">
        <v>83</v>
      </c>
      <c r="E93" s="3" t="s">
        <v>84</v>
      </c>
      <c r="F93" s="3" t="s">
        <v>367</v>
      </c>
      <c r="G93" s="3" t="s">
        <v>368</v>
      </c>
      <c r="H93" s="3" t="s">
        <v>87</v>
      </c>
    </row>
    <row r="94" customFormat="false" ht="23.85" hidden="false" customHeight="false" outlineLevel="0" collapsed="false">
      <c r="A94" s="3" t="s">
        <v>369</v>
      </c>
      <c r="B94" s="0" t="n">
        <v>60041</v>
      </c>
      <c r="C94" s="3" t="s">
        <v>370</v>
      </c>
      <c r="D94" s="3" t="s">
        <v>222</v>
      </c>
      <c r="E94" s="3" t="s">
        <v>56</v>
      </c>
      <c r="F94" s="3" t="s">
        <v>371</v>
      </c>
      <c r="G94" s="3" t="s">
        <v>372</v>
      </c>
      <c r="H94" s="3" t="s">
        <v>87</v>
      </c>
    </row>
    <row r="95" customFormat="false" ht="23.85" hidden="false" customHeight="false" outlineLevel="0" collapsed="false">
      <c r="A95" s="3" t="s">
        <v>373</v>
      </c>
      <c r="B95" s="0" t="n">
        <v>892353</v>
      </c>
      <c r="C95" s="3" t="s">
        <v>214</v>
      </c>
      <c r="D95" s="3" t="s">
        <v>125</v>
      </c>
      <c r="E95" s="3" t="s">
        <v>56</v>
      </c>
      <c r="F95" s="3" t="s">
        <v>230</v>
      </c>
      <c r="G95" s="3" t="s">
        <v>374</v>
      </c>
      <c r="H95" s="3" t="s">
        <v>59</v>
      </c>
    </row>
    <row r="96" customFormat="false" ht="23.85" hidden="false" customHeight="false" outlineLevel="0" collapsed="false">
      <c r="A96" s="3" t="s">
        <v>375</v>
      </c>
      <c r="B96" s="0" t="n">
        <v>242425</v>
      </c>
      <c r="C96" s="3" t="s">
        <v>221</v>
      </c>
      <c r="D96" s="3" t="s">
        <v>222</v>
      </c>
      <c r="E96" s="3" t="s">
        <v>72</v>
      </c>
      <c r="F96" s="3" t="s">
        <v>376</v>
      </c>
      <c r="G96" s="3" t="s">
        <v>377</v>
      </c>
      <c r="H96" s="3" t="s">
        <v>87</v>
      </c>
    </row>
    <row r="97" customFormat="false" ht="15" hidden="false" customHeight="false" outlineLevel="0" collapsed="false">
      <c r="A97" s="3" t="s">
        <v>378</v>
      </c>
      <c r="B97" s="0" t="n">
        <v>541542</v>
      </c>
      <c r="C97" s="3" t="s">
        <v>110</v>
      </c>
      <c r="D97" s="3" t="s">
        <v>62</v>
      </c>
      <c r="E97" s="3" t="s">
        <v>56</v>
      </c>
      <c r="F97" s="3" t="s">
        <v>379</v>
      </c>
      <c r="G97" s="3" t="s">
        <v>380</v>
      </c>
      <c r="H97" s="3" t="s">
        <v>59</v>
      </c>
    </row>
    <row r="98" customFormat="false" ht="15" hidden="false" customHeight="false" outlineLevel="0" collapsed="false">
      <c r="A98" s="3" t="s">
        <v>381</v>
      </c>
      <c r="B98" s="0" t="n">
        <v>69908</v>
      </c>
      <c r="C98" s="3" t="s">
        <v>167</v>
      </c>
      <c r="D98" s="3" t="s">
        <v>168</v>
      </c>
      <c r="E98" s="3" t="s">
        <v>56</v>
      </c>
      <c r="F98" s="3" t="s">
        <v>328</v>
      </c>
      <c r="G98" s="3" t="s">
        <v>329</v>
      </c>
      <c r="H98" s="3" t="s">
        <v>59</v>
      </c>
    </row>
    <row r="99" customFormat="false" ht="23.85" hidden="false" customHeight="false" outlineLevel="0" collapsed="false">
      <c r="A99" s="3" t="s">
        <v>382</v>
      </c>
      <c r="B99" s="0" t="n">
        <v>264247</v>
      </c>
      <c r="C99" s="3" t="s">
        <v>149</v>
      </c>
      <c r="D99" s="3" t="s">
        <v>98</v>
      </c>
      <c r="E99" s="3" t="s">
        <v>56</v>
      </c>
      <c r="F99" s="3" t="s">
        <v>383</v>
      </c>
      <c r="G99" s="3" t="s">
        <v>384</v>
      </c>
      <c r="H99" s="3" t="s">
        <v>75</v>
      </c>
    </row>
    <row r="100" customFormat="false" ht="15" hidden="false" customHeight="false" outlineLevel="0" collapsed="false">
      <c r="A100" s="3" t="s">
        <v>385</v>
      </c>
      <c r="B100" s="0" t="n">
        <v>421801</v>
      </c>
      <c r="C100" s="3" t="s">
        <v>61</v>
      </c>
      <c r="D100" s="3" t="s">
        <v>62</v>
      </c>
      <c r="E100" s="3" t="s">
        <v>56</v>
      </c>
      <c r="F100" s="3" t="s">
        <v>386</v>
      </c>
      <c r="G100" s="3" t="s">
        <v>387</v>
      </c>
      <c r="H100" s="3" t="s">
        <v>59</v>
      </c>
    </row>
    <row r="101" customFormat="false" ht="23.85" hidden="false" customHeight="false" outlineLevel="0" collapsed="false">
      <c r="A101" s="3" t="s">
        <v>388</v>
      </c>
      <c r="B101" s="0" t="n">
        <v>342978</v>
      </c>
      <c r="C101" s="3" t="s">
        <v>77</v>
      </c>
      <c r="D101" s="3" t="s">
        <v>78</v>
      </c>
      <c r="E101" s="3" t="s">
        <v>56</v>
      </c>
      <c r="F101" s="3" t="s">
        <v>389</v>
      </c>
      <c r="G101" s="3" t="s">
        <v>390</v>
      </c>
      <c r="H101" s="3" t="s">
        <v>59</v>
      </c>
    </row>
    <row r="102" customFormat="false" ht="15" hidden="false" customHeight="false" outlineLevel="0" collapsed="false">
      <c r="A102" s="3" t="s">
        <v>391</v>
      </c>
      <c r="B102" s="0" t="n">
        <v>198092</v>
      </c>
      <c r="C102" s="3" t="s">
        <v>70</v>
      </c>
      <c r="D102" s="3" t="s">
        <v>71</v>
      </c>
      <c r="E102" s="3" t="s">
        <v>72</v>
      </c>
      <c r="F102" s="3" t="s">
        <v>392</v>
      </c>
      <c r="G102" s="3" t="s">
        <v>393</v>
      </c>
      <c r="H102" s="3" t="s">
        <v>75</v>
      </c>
    </row>
    <row r="103" customFormat="false" ht="15" hidden="false" customHeight="false" outlineLevel="0" collapsed="false">
      <c r="A103" s="3" t="s">
        <v>394</v>
      </c>
      <c r="B103" s="0" t="n">
        <v>375353</v>
      </c>
      <c r="C103" s="3" t="s">
        <v>61</v>
      </c>
      <c r="D103" s="3" t="s">
        <v>62</v>
      </c>
      <c r="E103" s="3" t="s">
        <v>56</v>
      </c>
      <c r="F103" s="3" t="s">
        <v>395</v>
      </c>
      <c r="G103" s="3" t="s">
        <v>396</v>
      </c>
      <c r="H103" s="3" t="s">
        <v>59</v>
      </c>
    </row>
    <row r="104" customFormat="false" ht="15" hidden="false" customHeight="false" outlineLevel="0" collapsed="false">
      <c r="A104" s="3" t="s">
        <v>397</v>
      </c>
      <c r="B104" s="0" t="n">
        <v>272747</v>
      </c>
      <c r="C104" s="3" t="s">
        <v>110</v>
      </c>
      <c r="D104" s="3" t="s">
        <v>62</v>
      </c>
      <c r="E104" s="3" t="s">
        <v>56</v>
      </c>
      <c r="F104" s="3" t="s">
        <v>398</v>
      </c>
      <c r="G104" s="3" t="s">
        <v>399</v>
      </c>
      <c r="H104" s="3" t="s">
        <v>59</v>
      </c>
    </row>
    <row r="105" customFormat="false" ht="23.85" hidden="false" customHeight="false" outlineLevel="0" collapsed="false">
      <c r="A105" s="3" t="s">
        <v>400</v>
      </c>
      <c r="B105" s="0" t="n">
        <v>106149</v>
      </c>
      <c r="C105" s="3" t="s">
        <v>54</v>
      </c>
      <c r="D105" s="3" t="s">
        <v>55</v>
      </c>
      <c r="E105" s="3" t="s">
        <v>56</v>
      </c>
      <c r="F105" s="3" t="s">
        <v>401</v>
      </c>
      <c r="G105" s="3" t="s">
        <v>402</v>
      </c>
      <c r="H105" s="3" t="s">
        <v>59</v>
      </c>
    </row>
    <row r="106" customFormat="false" ht="23.85" hidden="false" customHeight="false" outlineLevel="0" collapsed="false">
      <c r="A106" s="3" t="s">
        <v>403</v>
      </c>
      <c r="B106" s="0" t="n">
        <v>663939</v>
      </c>
      <c r="C106" s="3" t="s">
        <v>124</v>
      </c>
      <c r="D106" s="3" t="s">
        <v>125</v>
      </c>
      <c r="E106" s="3" t="s">
        <v>72</v>
      </c>
      <c r="F106" s="3" t="s">
        <v>404</v>
      </c>
      <c r="G106" s="3" t="s">
        <v>405</v>
      </c>
      <c r="H106" s="3" t="s">
        <v>59</v>
      </c>
    </row>
    <row r="107" customFormat="false" ht="15" hidden="false" customHeight="false" outlineLevel="0" collapsed="false">
      <c r="A107" s="3" t="s">
        <v>406</v>
      </c>
      <c r="B107" s="0" t="n">
        <v>493814</v>
      </c>
      <c r="C107" s="3" t="s">
        <v>366</v>
      </c>
      <c r="D107" s="3" t="s">
        <v>83</v>
      </c>
      <c r="E107" s="3" t="s">
        <v>84</v>
      </c>
      <c r="F107" s="3" t="s">
        <v>407</v>
      </c>
      <c r="G107" s="3" t="s">
        <v>408</v>
      </c>
      <c r="H107" s="3" t="s">
        <v>87</v>
      </c>
    </row>
    <row r="108" customFormat="false" ht="23.85" hidden="false" customHeight="false" outlineLevel="0" collapsed="false">
      <c r="A108" s="3" t="s">
        <v>409</v>
      </c>
      <c r="B108" s="0" t="n">
        <v>161037</v>
      </c>
      <c r="C108" s="3" t="s">
        <v>162</v>
      </c>
      <c r="D108" s="3" t="s">
        <v>163</v>
      </c>
      <c r="E108" s="3" t="s">
        <v>56</v>
      </c>
      <c r="F108" s="3" t="s">
        <v>410</v>
      </c>
      <c r="G108" s="3" t="s">
        <v>411</v>
      </c>
      <c r="H108" s="3" t="s">
        <v>75</v>
      </c>
    </row>
    <row r="109" customFormat="false" ht="15" hidden="false" customHeight="false" outlineLevel="0" collapsed="false">
      <c r="A109" s="3" t="s">
        <v>412</v>
      </c>
      <c r="B109" s="0" t="n">
        <v>275308</v>
      </c>
      <c r="C109" s="3" t="s">
        <v>110</v>
      </c>
      <c r="D109" s="3" t="s">
        <v>62</v>
      </c>
      <c r="E109" s="3" t="s">
        <v>56</v>
      </c>
      <c r="F109" s="3" t="s">
        <v>413</v>
      </c>
      <c r="G109" s="3" t="s">
        <v>414</v>
      </c>
      <c r="H109" s="3" t="s">
        <v>59</v>
      </c>
    </row>
    <row r="110" customFormat="false" ht="15" hidden="false" customHeight="false" outlineLevel="0" collapsed="false">
      <c r="A110" s="3" t="s">
        <v>415</v>
      </c>
      <c r="B110" s="0" t="n">
        <v>340721</v>
      </c>
      <c r="C110" s="3" t="s">
        <v>110</v>
      </c>
      <c r="D110" s="3" t="s">
        <v>62</v>
      </c>
      <c r="E110" s="3" t="s">
        <v>56</v>
      </c>
      <c r="F110" s="3" t="s">
        <v>416</v>
      </c>
      <c r="G110" s="3" t="s">
        <v>417</v>
      </c>
      <c r="H110" s="3" t="s">
        <v>59</v>
      </c>
    </row>
    <row r="111" customFormat="false" ht="23.85" hidden="false" customHeight="false" outlineLevel="0" collapsed="false">
      <c r="A111" s="3" t="s">
        <v>418</v>
      </c>
      <c r="B111" s="0" t="n">
        <v>187607</v>
      </c>
      <c r="C111" s="3" t="s">
        <v>226</v>
      </c>
      <c r="D111" s="3" t="s">
        <v>62</v>
      </c>
      <c r="E111" s="3" t="s">
        <v>56</v>
      </c>
      <c r="F111" s="3" t="s">
        <v>419</v>
      </c>
      <c r="G111" s="3" t="s">
        <v>420</v>
      </c>
      <c r="H111" s="3" t="s">
        <v>59</v>
      </c>
    </row>
    <row r="112" customFormat="false" ht="23.85" hidden="false" customHeight="false" outlineLevel="0" collapsed="false">
      <c r="A112" s="3" t="s">
        <v>421</v>
      </c>
      <c r="B112" s="0" t="n">
        <v>580170</v>
      </c>
      <c r="C112" s="3" t="s">
        <v>106</v>
      </c>
      <c r="D112" s="3" t="s">
        <v>78</v>
      </c>
      <c r="E112" s="3" t="s">
        <v>56</v>
      </c>
      <c r="F112" s="3" t="s">
        <v>422</v>
      </c>
      <c r="G112" s="3" t="s">
        <v>423</v>
      </c>
      <c r="H112" s="3" t="s">
        <v>59</v>
      </c>
    </row>
    <row r="113" customFormat="false" ht="23.85" hidden="false" customHeight="false" outlineLevel="0" collapsed="false">
      <c r="A113" s="3" t="s">
        <v>424</v>
      </c>
      <c r="B113" s="0" t="n">
        <v>232824</v>
      </c>
      <c r="C113" s="3" t="s">
        <v>193</v>
      </c>
      <c r="D113" s="3" t="s">
        <v>71</v>
      </c>
      <c r="E113" s="3" t="s">
        <v>72</v>
      </c>
      <c r="F113" s="3" t="s">
        <v>425</v>
      </c>
      <c r="G113" s="3" t="s">
        <v>426</v>
      </c>
      <c r="H113" s="3" t="s">
        <v>75</v>
      </c>
    </row>
    <row r="114" customFormat="false" ht="23.85" hidden="false" customHeight="false" outlineLevel="0" collapsed="false">
      <c r="A114" s="3" t="s">
        <v>427</v>
      </c>
      <c r="B114" s="0" t="n">
        <v>779671</v>
      </c>
      <c r="C114" s="3" t="s">
        <v>162</v>
      </c>
      <c r="D114" s="3" t="s">
        <v>163</v>
      </c>
      <c r="E114" s="3" t="s">
        <v>56</v>
      </c>
      <c r="F114" s="3" t="s">
        <v>428</v>
      </c>
      <c r="G114" s="3" t="s">
        <v>429</v>
      </c>
      <c r="H114" s="3" t="s">
        <v>75</v>
      </c>
    </row>
    <row r="115" customFormat="false" ht="23.85" hidden="false" customHeight="false" outlineLevel="0" collapsed="false">
      <c r="A115" s="3" t="s">
        <v>430</v>
      </c>
      <c r="B115" s="0" t="n">
        <v>856006</v>
      </c>
      <c r="C115" s="3" t="s">
        <v>77</v>
      </c>
      <c r="D115" s="3" t="s">
        <v>78</v>
      </c>
      <c r="E115" s="3" t="s">
        <v>56</v>
      </c>
      <c r="F115" s="3" t="s">
        <v>431</v>
      </c>
      <c r="G115" s="3" t="s">
        <v>432</v>
      </c>
      <c r="H115" s="3" t="s">
        <v>59</v>
      </c>
    </row>
    <row r="116" customFormat="false" ht="15" hidden="false" customHeight="false" outlineLevel="0" collapsed="false">
      <c r="A116" s="3" t="s">
        <v>433</v>
      </c>
      <c r="B116" s="0" t="n">
        <v>825986</v>
      </c>
      <c r="C116" s="3" t="s">
        <v>82</v>
      </c>
      <c r="D116" s="3" t="s">
        <v>83</v>
      </c>
      <c r="E116" s="3" t="s">
        <v>84</v>
      </c>
      <c r="F116" s="3" t="s">
        <v>434</v>
      </c>
      <c r="G116" s="3" t="s">
        <v>435</v>
      </c>
      <c r="H116" s="3" t="s">
        <v>87</v>
      </c>
    </row>
    <row r="117" customFormat="false" ht="23.85" hidden="false" customHeight="false" outlineLevel="0" collapsed="false">
      <c r="A117" s="3" t="s">
        <v>436</v>
      </c>
      <c r="B117" s="0" t="n">
        <v>112183</v>
      </c>
      <c r="C117" s="3" t="s">
        <v>114</v>
      </c>
      <c r="D117" s="3" t="s">
        <v>83</v>
      </c>
      <c r="E117" s="3" t="s">
        <v>84</v>
      </c>
      <c r="F117" s="3" t="s">
        <v>437</v>
      </c>
      <c r="G117" s="3" t="s">
        <v>438</v>
      </c>
      <c r="H117" s="3" t="s">
        <v>87</v>
      </c>
    </row>
    <row r="118" customFormat="false" ht="15" hidden="false" customHeight="false" outlineLevel="0" collapsed="false">
      <c r="A118" s="3" t="s">
        <v>439</v>
      </c>
      <c r="B118" s="0" t="n">
        <v>246776</v>
      </c>
      <c r="C118" s="3" t="s">
        <v>142</v>
      </c>
      <c r="D118" s="3" t="s">
        <v>83</v>
      </c>
      <c r="E118" s="3" t="s">
        <v>84</v>
      </c>
      <c r="F118" s="3" t="s">
        <v>440</v>
      </c>
      <c r="G118" s="3" t="s">
        <v>441</v>
      </c>
      <c r="H118" s="3" t="s">
        <v>87</v>
      </c>
    </row>
    <row r="119" customFormat="false" ht="15" hidden="false" customHeight="false" outlineLevel="0" collapsed="false">
      <c r="A119" s="3" t="s">
        <v>442</v>
      </c>
      <c r="B119" s="0" t="n">
        <v>1272853</v>
      </c>
      <c r="C119" s="3" t="s">
        <v>142</v>
      </c>
      <c r="D119" s="3" t="s">
        <v>83</v>
      </c>
      <c r="E119" s="3" t="s">
        <v>84</v>
      </c>
      <c r="F119" s="3" t="s">
        <v>443</v>
      </c>
      <c r="G119" s="3" t="s">
        <v>444</v>
      </c>
      <c r="H119" s="3" t="s">
        <v>87</v>
      </c>
    </row>
    <row r="120" customFormat="false" ht="23.85" hidden="false" customHeight="false" outlineLevel="0" collapsed="false">
      <c r="A120" s="3" t="s">
        <v>445</v>
      </c>
      <c r="B120" s="0" t="n">
        <v>231741</v>
      </c>
      <c r="C120" s="3" t="s">
        <v>54</v>
      </c>
      <c r="D120" s="3" t="s">
        <v>55</v>
      </c>
      <c r="E120" s="3" t="s">
        <v>56</v>
      </c>
      <c r="F120" s="3" t="s">
        <v>446</v>
      </c>
      <c r="G120" s="3" t="s">
        <v>447</v>
      </c>
      <c r="H120" s="3" t="s">
        <v>59</v>
      </c>
    </row>
    <row r="121" customFormat="false" ht="15" hidden="false" customHeight="false" outlineLevel="0" collapsed="false">
      <c r="A121" s="3" t="s">
        <v>448</v>
      </c>
      <c r="B121" s="0" t="n">
        <v>325196</v>
      </c>
      <c r="C121" s="3" t="s">
        <v>61</v>
      </c>
      <c r="D121" s="3" t="s">
        <v>62</v>
      </c>
      <c r="E121" s="3" t="s">
        <v>56</v>
      </c>
      <c r="F121" s="3" t="s">
        <v>449</v>
      </c>
      <c r="G121" s="3" t="s">
        <v>450</v>
      </c>
      <c r="H121" s="3" t="s">
        <v>59</v>
      </c>
    </row>
  </sheetData>
  <autoFilter ref="A1:H12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2026-09-27T01:06:44Z</dcterms:created>
  <dc:creator>openpyxl</dc:creator>
  <dc:description/>
  <dc:language>en-US</dc:language>
  <cp:lastModifiedBy/>
  <dcterms:modified xsi:type="dcterms:W3CDTF">2026-09-27T01:06:44Z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