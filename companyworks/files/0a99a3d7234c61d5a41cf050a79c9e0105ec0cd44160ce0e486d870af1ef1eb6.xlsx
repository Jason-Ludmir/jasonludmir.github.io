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  <sheet name="Data 2" sheetId="5" state="visible" r:id="rId7"/>
  </sheets>
  <definedNames>
    <definedName function="false" hidden="false" localSheetId="3" name="_xlnm.Print_Area" vbProcedure="false">'Data 1'!$A$1:$M$31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1'!$A$1:$M$45</definedName>
    <definedName function="false" hidden="false" localSheetId="4" name="_xlnm.Print_Area" vbProcedure="false">'Data 2'!$A$1:$L$31</definedName>
    <definedName function="false" hidden="false" localSheetId="4" name="_xlnm.Print_Titles" vbProcedure="false">'Data 2'!$1:$1</definedName>
    <definedName function="false" hidden="true" localSheetId="4" name="_xlnm._FilterDatabase" vbProcedure="false">'Data 2'!$A$1:$L$111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<sst xmlns="http://schemas.openxmlformats.org/spreadsheetml/2006/main" count="1799" uniqueCount="567">
  <si>
    <t xml:space="preserve">External Partner Register and Work Orders</t>
  </si>
  <si>
    <t xml:space="preserve">Loblolly Ridge Therapeutics</t>
  </si>
  <si>
    <t xml:space="preserve">Effective date</t>
  </si>
  <si>
    <t xml:space="preserve">2026-09-18</t>
  </si>
  <si>
    <t xml:space="preserve">Purpose</t>
  </si>
  <si>
    <t xml:space="preserve">Register of external partners (service category, GxP scope, risk tier, qualification and quality-agreement status) and all active or 2025-2026 work orders and change orders.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</si>
  <si>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</si>
  <si>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</si>
  <si>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</si>
  <si>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</si>
  <si>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</si>
  <si>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Extract of the external partner register and the work order register as of September 18, 2026, maintained by Outsourcing &amp; Procurement. It shows who does what outside the company, how each partner is risk-tiered and qualified, and what has been committed to them.</t>
  </si>
  <si>
    <t xml:space="preserve">What the workbook holds</t>
  </si>
  <si>
    <t xml:space="preserve">Data 1 – partner register: 44 partners with service category, country, GxP scope, risk tier, qualification status, MSA date, last audit and next audit due, quality agreement status, relationship owner and whether used in 2026.</t>
  </si>
  <si>
    <t xml:space="preserve">Data 2 – work order register: 110 work orders, change orders, SOW amendments and pass-through budgets recorded since 2023, each linked to a partner, a project and, for change orders and amendments, a parent work order.</t>
  </si>
  <si>
    <t xml:space="preserve">Summary – record counts and totals of committed services and estimated pass-through.</t>
  </si>
  <si>
    <t xml:space="preserve">Risk tiers</t>
  </si>
  <si>
    <t xml:space="preserve">Tier 1 is GxP-critical: CROs, the central lab, GLP testing facilities, bioanalytical labs, CDMOs and clinical supply. Tier 1 partners are audited before first use and every 24 months. Tier 2 partners are audited every 36 months or assessed by questionnaire. Tier 3 partners have no routine audit.</t>
  </si>
  <si>
    <t xml:space="preserve">The register has 14 tier 1, 16 tier 2 and 14 tier 3 partners.</t>
  </si>
  <si>
    <t xml:space="preserve">Qualification status</t>
  </si>
  <si>
    <t xml:space="preserve">Qualified means QA approved the partner after a documented assessment and, for GMP, GLP and CRO partners, a signed quality agreement. Qualified with conditions means approved with a dated follow-up, usually an audit within 12 months; one partner is in this status. Not required applies to non-GxP partners. Closed partners are kept for history.</t>
  </si>
  <si>
    <t xml:space="preserve">Three partners are in qualification, including Hanlin Pharmatech as a backup API supplier for LRT-1107 (qualification batch forecast for February 2027) and Fenwick Bioanalysis as a second external bioanalytical lab.</t>
  </si>
  <si>
    <t xml:space="preserve">Approval level</t>
  </si>
  <si>
    <t xml:space="preserve">The approval level column records who approved each commitment under the thresholds, which include estimated pass-through: director up to $250,000; CFO $250,000 to $1 million; CEO $1 million to $5 million; board $5 million or more. CANOPY-1 change order 4 is pending signature and shows board as its approval level.</t>
  </si>
  <si>
    <t xml:space="preserve">Commitments</t>
  </si>
  <si>
    <t xml:space="preserve">97 of the 110 records are active or pending signature, with $116.6 million of committed services. Signed Halvorsen commitments for CANOPY-1 total $64.16 million in services, of which change orders 1 to 3 are $4.73 million; estimated pass-through is a further $19.55 million plus the 2026 pass-through budget of $11.2 million.</t>
  </si>
  <si>
    <t xml:space="preserve">Reading the totals</t>
  </si>
  <si>
    <t xml:space="preserve">Committed services and estimated pass-through are separate columns. The Summary adds each column across every status, including closed and complete work orders, and does not net off pass-through already invoiced. Filter by status before quoting a total.</t>
  </si>
  <si>
    <t xml:space="preserve">Not included</t>
  </si>
  <si>
    <t xml:space="preserve">Contract rates, full contract text and pass-through invoices by site.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</si>
  <si>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</si>
  <si>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</si>
  <si>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</si>
  <si>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</si>
  <si>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</si>
  <si>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</si>
  <si>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</si>
  <si>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</si>
  <si>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External partner register</t>
  </si>
  <si>
    <t xml:space="preserve">Row count</t>
  </si>
  <si>
    <t xml:space="preserve">records</t>
  </si>
  <si>
    <t xml:space="preserve">2014-01-01</t>
  </si>
  <si>
    <t xml:space="preserve">Work orders and change orders</t>
  </si>
  <si>
    <t xml:space="preserve">committed_usd</t>
  </si>
  <si>
    <t xml:space="preserve">USD</t>
  </si>
  <si>
    <t xml:space="preserve">2023-01-01</t>
  </si>
  <si>
    <t xml:space="preserve">pass_through_estimate_usd</t>
  </si>
  <si>
    <t xml:space="preserve">Field</t>
  </si>
  <si>
    <t xml:space="preserve">Definition</t>
  </si>
  <si>
    <t xml:space="preserve">Type</t>
  </si>
  <si>
    <t xml:space="preserve">Reference</t>
  </si>
  <si>
    <t xml:space="preserve">vendor_id</t>
  </si>
  <si>
    <t xml:space="preserve">Vendor id</t>
  </si>
  <si>
    <t xml:space="preserve">id</t>
  </si>
  <si>
    <t xml:space="preserve">vendor_name</t>
  </si>
  <si>
    <t xml:space="preserve">Vendor name</t>
  </si>
  <si>
    <t xml:space="preserve">category</t>
  </si>
  <si>
    <t xml:space="preserve">service_category</t>
  </si>
  <si>
    <t xml:space="preserve">Service category</t>
  </si>
  <si>
    <t xml:space="preserve">country</t>
  </si>
  <si>
    <t xml:space="preserve">Country</t>
  </si>
  <si>
    <t xml:space="preserve">gxp_scope</t>
  </si>
  <si>
    <t xml:space="preserve">Gxp scope</t>
  </si>
  <si>
    <t xml:space="preserve">risk_tier</t>
  </si>
  <si>
    <t xml:space="preserve">Risk tier</t>
  </si>
  <si>
    <t xml:space="preserve">qualification_status</t>
  </si>
  <si>
    <t xml:space="preserve">msa_effective</t>
  </si>
  <si>
    <t xml:space="preserve">Msa effective</t>
  </si>
  <si>
    <t xml:space="preserve">date</t>
  </si>
  <si>
    <t xml:space="preserve">last_audit</t>
  </si>
  <si>
    <t xml:space="preserve">Last audit</t>
  </si>
  <si>
    <t xml:space="preserve">next_audit_due</t>
  </si>
  <si>
    <t xml:space="preserve">Next audit due</t>
  </si>
  <si>
    <t xml:space="preserve">quality_agreement</t>
  </si>
  <si>
    <t xml:space="preserve">Quality agreement</t>
  </si>
  <si>
    <t xml:space="preserve">relationship_owner</t>
  </si>
  <si>
    <t xml:space="preserve">Relationship owner</t>
  </si>
  <si>
    <t xml:space="preserve">active_2026</t>
  </si>
  <si>
    <t xml:space="preserve">Active 2026</t>
  </si>
  <si>
    <t xml:space="preserve">wo_id</t>
  </si>
  <si>
    <t xml:space="preserve">Wo id</t>
  </si>
  <si>
    <t xml:space="preserve">Committed value excluding pass-through</t>
  </si>
  <si>
    <t xml:space="preserve">number</t>
  </si>
  <si>
    <t xml:space="preserve">project</t>
  </si>
  <si>
    <t xml:space="preserve">Project</t>
  </si>
  <si>
    <t xml:space="preserve">wo_type</t>
  </si>
  <si>
    <t xml:space="preserve">Wo type</t>
  </si>
  <si>
    <t xml:space="preserve">parent_wo</t>
  </si>
  <si>
    <t xml:space="preserve">Parent wo</t>
  </si>
  <si>
    <t xml:space="preserve">effective_date</t>
  </si>
  <si>
    <t xml:space="preserve">end_date</t>
  </si>
  <si>
    <t xml:space="preserve">End date</t>
  </si>
  <si>
    <t xml:space="preserve">Estimated pass-through costs (CRO and central lab only)</t>
  </si>
  <si>
    <t xml:space="preserve">status</t>
  </si>
  <si>
    <t xml:space="preserve">Status</t>
  </si>
  <si>
    <t xml:space="preserve">approval_level</t>
  </si>
  <si>
    <t xml:space="preserve">V-001</t>
  </si>
  <si>
    <t xml:space="preserve">Halvorsen Clinical Research</t>
  </si>
  <si>
    <t xml:space="preserve">full-service CRO</t>
  </si>
  <si>
    <t xml:space="preserve">United States</t>
  </si>
  <si>
    <t xml:space="preserve">GCP</t>
  </si>
  <si>
    <t xml:space="preserve">1</t>
  </si>
  <si>
    <t xml:space="preserve">qualified</t>
  </si>
  <si>
    <t xml:space="preserve">2024-03-11</t>
  </si>
  <si>
    <t xml:space="preserve">2025-10-14</t>
  </si>
  <si>
    <t xml:space="preserve">2027-10-14</t>
  </si>
  <si>
    <t xml:space="preserve">in place</t>
  </si>
  <si>
    <t xml:space="preserve">Clinical Operations</t>
  </si>
  <si>
    <t xml:space="preserve">yes</t>
  </si>
  <si>
    <t xml:space="preserve">V-002</t>
  </si>
  <si>
    <t xml:space="preserve">Brightwater Clinical</t>
  </si>
  <si>
    <t xml:space="preserve">closed</t>
  </si>
  <si>
    <t xml:space="preserve">2024-02-19</t>
  </si>
  <si>
    <t xml:space="preserve">2024-11-05</t>
  </si>
  <si>
    <t xml:space="preserve">n/a</t>
  </si>
  <si>
    <t xml:space="preserve">V-003</t>
  </si>
  <si>
    <t xml:space="preserve">Meridian Central Laboratories</t>
  </si>
  <si>
    <t xml:space="preserve">central lab</t>
  </si>
  <si>
    <t xml:space="preserve">2024-04-02</t>
  </si>
  <si>
    <t xml:space="preserve">2025-06-03</t>
  </si>
  <si>
    <t xml:space="preserve">2027-06-03</t>
  </si>
  <si>
    <t xml:space="preserve">V-004</t>
  </si>
  <si>
    <t xml:space="preserve">Cobalt RTSM</t>
  </si>
  <si>
    <t xml:space="preserve">IRT</t>
  </si>
  <si>
    <t xml:space="preserve">2</t>
  </si>
  <si>
    <t xml:space="preserve">2024-04-22</t>
  </si>
  <si>
    <t xml:space="preserve">2024-11-12</t>
  </si>
  <si>
    <t xml:space="preserve">2027-11-12</t>
  </si>
  <si>
    <t xml:space="preserve">V-005</t>
  </si>
  <si>
    <t xml:space="preserve">Pulsewell ABPM Services</t>
  </si>
  <si>
    <t xml:space="preserve">ABPM services</t>
  </si>
  <si>
    <t xml:space="preserve">United Kingdom</t>
  </si>
  <si>
    <t xml:space="preserve">2024-05-06</t>
  </si>
  <si>
    <t xml:space="preserve">2025-03-18</t>
  </si>
  <si>
    <t xml:space="preserve">2028-03-18</t>
  </si>
  <si>
    <t xml:space="preserve">V-006</t>
  </si>
  <si>
    <t xml:space="preserve">Harbor Safety Services</t>
  </si>
  <si>
    <t xml:space="preserve">PV/safety</t>
  </si>
  <si>
    <t xml:space="preserve">2023-11-01</t>
  </si>
  <si>
    <t xml:space="preserve">2025-02-11</t>
  </si>
  <si>
    <t xml:space="preserve">2027-02-11</t>
  </si>
  <si>
    <t xml:space="preserve">Clinical Development</t>
  </si>
  <si>
    <t xml:space="preserve">V-007</t>
  </si>
  <si>
    <t xml:space="preserve">Linden Biostatistics</t>
  </si>
  <si>
    <t xml:space="preserve">biostatistics</t>
  </si>
  <si>
    <t xml:space="preserve">2024-01-15</t>
  </si>
  <si>
    <t xml:space="preserve">none</t>
  </si>
  <si>
    <t xml:space="preserve">2026-12-15</t>
  </si>
  <si>
    <t xml:space="preserve">Biometrics</t>
  </si>
  <si>
    <t xml:space="preserve">V-008</t>
  </si>
  <si>
    <t xml:space="preserve">Clearwing Clinical Supply</t>
  </si>
  <si>
    <t xml:space="preserve">clinical supply &amp; depot</t>
  </si>
  <si>
    <t xml:space="preserve">GMP</t>
  </si>
  <si>
    <t xml:space="preserve">2024-05-20</t>
  </si>
  <si>
    <t xml:space="preserve">2025-04-08</t>
  </si>
  <si>
    <t xml:space="preserve">2027-04-08</t>
  </si>
  <si>
    <t xml:space="preserve">CMC &amp; Clinical Supply</t>
  </si>
  <si>
    <t xml:space="preserve">V-009</t>
  </si>
  <si>
    <t xml:space="preserve">Quarry Hill Preclinical</t>
  </si>
  <si>
    <t xml:space="preserve">GLP toxicology</t>
  </si>
  <si>
    <t xml:space="preserve">GLP</t>
  </si>
  <si>
    <t xml:space="preserve">2025-06-02</t>
  </si>
  <si>
    <t xml:space="preserve">2025-08-26</t>
  </si>
  <si>
    <t xml:space="preserve">2027-08-26</t>
  </si>
  <si>
    <t xml:space="preserve">Nonclinical Safety</t>
  </si>
  <si>
    <t xml:space="preserve">V-010</t>
  </si>
  <si>
    <t xml:space="preserve">Alder Bioanalytical</t>
  </si>
  <si>
    <t xml:space="preserve">bioanalytical</t>
  </si>
  <si>
    <t xml:space="preserve">GCP/GLP</t>
  </si>
  <si>
    <t xml:space="preserve">2022-08-01</t>
  </si>
  <si>
    <t xml:space="preserve">2024-09-24</t>
  </si>
  <si>
    <t xml:space="preserve">2026-09-30</t>
  </si>
  <si>
    <t xml:space="preserve">DMPK &amp; Bioanalytical</t>
  </si>
  <si>
    <t xml:space="preserve">V-011</t>
  </si>
  <si>
    <t xml:space="preserve">Kestrel DMPK Services</t>
  </si>
  <si>
    <t xml:space="preserve">DMPK</t>
  </si>
  <si>
    <t xml:space="preserve">non-GxP</t>
  </si>
  <si>
    <t xml:space="preserve">2021-03-15</t>
  </si>
  <si>
    <t xml:space="preserve">not required</t>
  </si>
  <si>
    <t xml:space="preserve">V-012</t>
  </si>
  <si>
    <t xml:space="preserve">Anvaya Synthesis</t>
  </si>
  <si>
    <t xml:space="preserve">chemistry FTE</t>
  </si>
  <si>
    <t xml:space="preserve">India</t>
  </si>
  <si>
    <t xml:space="preserve">2019-07-01</t>
  </si>
  <si>
    <t xml:space="preserve">Medicinal &amp; Computational Chemistry</t>
  </si>
  <si>
    <t xml:space="preserve">V-013</t>
  </si>
  <si>
    <t xml:space="preserve">Sabine Institute for Translational Medicine</t>
  </si>
  <si>
    <t xml:space="preserve">academic collaborator</t>
  </si>
  <si>
    <t xml:space="preserve">3</t>
  </si>
  <si>
    <t xml:space="preserve">2023-09-01</t>
  </si>
  <si>
    <t xml:space="preserve">Discovery Biology</t>
  </si>
  <si>
    <t xml:space="preserve">V-014</t>
  </si>
  <si>
    <t xml:space="preserve">Tessaro Fine Chemicals</t>
  </si>
  <si>
    <t xml:space="preserve">API CDMO</t>
  </si>
  <si>
    <t xml:space="preserve">Italy</t>
  </si>
  <si>
    <t xml:space="preserve">2018-10-01</t>
  </si>
  <si>
    <t xml:space="preserve">2025-05-20</t>
  </si>
  <si>
    <t xml:space="preserve">2027-05-20</t>
  </si>
  <si>
    <t xml:space="preserve">V-015</t>
  </si>
  <si>
    <t xml:space="preserve">Hanlin Pharmatech</t>
  </si>
  <si>
    <t xml:space="preserve">China</t>
  </si>
  <si>
    <t xml:space="preserve">in qualification</t>
  </si>
  <si>
    <t xml:space="preserve">2026-01-12</t>
  </si>
  <si>
    <t xml:space="preserve">2026-06-09</t>
  </si>
  <si>
    <t xml:space="preserve">in negotiation</t>
  </si>
  <si>
    <t xml:space="preserve">V-016</t>
  </si>
  <si>
    <t xml:space="preserve">Northgate Pharma Services</t>
  </si>
  <si>
    <t xml:space="preserve">DP CDMO</t>
  </si>
  <si>
    <t xml:space="preserve">Canada</t>
  </si>
  <si>
    <t xml:space="preserve">2020-02-03</t>
  </si>
  <si>
    <t xml:space="preserve">2024-10-22</t>
  </si>
  <si>
    <t xml:space="preserve">2026-10-22</t>
  </si>
  <si>
    <t xml:space="preserve">V-017</t>
  </si>
  <si>
    <t xml:space="preserve">Brookmoor Analytical</t>
  </si>
  <si>
    <t xml:space="preserve">analytical/stability lab</t>
  </si>
  <si>
    <t xml:space="preserve">qualified with conditions</t>
  </si>
  <si>
    <t xml:space="preserve">2021-05-10</t>
  </si>
  <si>
    <t xml:space="preserve">2025-11-04</t>
  </si>
  <si>
    <t xml:space="preserve">2026-11-04</t>
  </si>
  <si>
    <t xml:space="preserve">V-018</t>
  </si>
  <si>
    <t xml:space="preserve">Parkway Regulatory Publishing</t>
  </si>
  <si>
    <t xml:space="preserve">regulatory publishing</t>
  </si>
  <si>
    <t xml:space="preserve">2022-01-10</t>
  </si>
  <si>
    <t xml:space="preserve">Regulatory Affairs</t>
  </si>
  <si>
    <t xml:space="preserve">V-019</t>
  </si>
  <si>
    <t xml:space="preserve">Bayou Managed IT</t>
  </si>
  <si>
    <t xml:space="preserve">IT managed services</t>
  </si>
  <si>
    <t xml:space="preserve">2021-06-01</t>
  </si>
  <si>
    <t xml:space="preserve">IT</t>
  </si>
  <si>
    <t xml:space="preserve">V-020</t>
  </si>
  <si>
    <t xml:space="preserve">Vaultline Data Rooms</t>
  </si>
  <si>
    <t xml:space="preserve">data room provider</t>
  </si>
  <si>
    <t xml:space="preserve">2026-03-30</t>
  </si>
  <si>
    <t xml:space="preserve">Business Development</t>
  </si>
  <si>
    <t xml:space="preserve">V-021</t>
  </si>
  <si>
    <t xml:space="preserve">Qualis Cloud Systems</t>
  </si>
  <si>
    <t xml:space="preserve">quality software (eQMS)</t>
  </si>
  <si>
    <t xml:space="preserve">2025-05-12</t>
  </si>
  <si>
    <t xml:space="preserve">Quality Assurance</t>
  </si>
  <si>
    <t xml:space="preserve">V-022</t>
  </si>
  <si>
    <t xml:space="preserve">Notewell Scientific Software</t>
  </si>
  <si>
    <t xml:space="preserve">research software (ELN)</t>
  </si>
  <si>
    <t xml:space="preserve">2020-01-20</t>
  </si>
  <si>
    <t xml:space="preserve">Research Informatics</t>
  </si>
  <si>
    <t xml:space="preserve">V-023</t>
  </si>
  <si>
    <t xml:space="preserve">Gulfline Analytical Service</t>
  </si>
  <si>
    <t xml:space="preserve">lab instrument service</t>
  </si>
  <si>
    <t xml:space="preserve">2022-02-01</t>
  </si>
  <si>
    <t xml:space="preserve">Facilities, Lab Operations &amp; EHS</t>
  </si>
  <si>
    <t xml:space="preserve">V-024</t>
  </si>
  <si>
    <t xml:space="preserve">Brazoria Lab Equipment Services</t>
  </si>
  <si>
    <t xml:space="preserve">2019-04-15</t>
  </si>
  <si>
    <t xml:space="preserve">V-025</t>
  </si>
  <si>
    <t xml:space="preserve">Precision Liquid Handling Support</t>
  </si>
  <si>
    <t xml:space="preserve">2021-09-01</t>
  </si>
  <si>
    <t xml:space="preserve">V-026</t>
  </si>
  <si>
    <t xml:space="preserve">Cypress Scientific Supply</t>
  </si>
  <si>
    <t xml:space="preserve">lab supplies</t>
  </si>
  <si>
    <t xml:space="preserve">2016-03-01</t>
  </si>
  <si>
    <t xml:space="preserve">Finance, Outsourcing &amp; Procurement</t>
  </si>
  <si>
    <t xml:space="preserve">V-027</t>
  </si>
  <si>
    <t xml:space="preserve">Lonestar Reagents</t>
  </si>
  <si>
    <t xml:space="preserve">2018-08-01</t>
  </si>
  <si>
    <t xml:space="preserve">V-028</t>
  </si>
  <si>
    <t xml:space="preserve">Greenway Lab Waste</t>
  </si>
  <si>
    <t xml:space="preserve">EHS services</t>
  </si>
  <si>
    <t xml:space="preserve">2017-01-09</t>
  </si>
  <si>
    <t xml:space="preserve">V-029</t>
  </si>
  <si>
    <t xml:space="preserve">ColdTrace Monitoring</t>
  </si>
  <si>
    <t xml:space="preserve">2020-06-01</t>
  </si>
  <si>
    <t xml:space="preserve">V-030</t>
  </si>
  <si>
    <t xml:space="preserve">Harrowgate Insights</t>
  </si>
  <si>
    <t xml:space="preserve">market research</t>
  </si>
  <si>
    <t xml:space="preserve">2026-04-27</t>
  </si>
  <si>
    <t xml:space="preserve">V-031</t>
  </si>
  <si>
    <t xml:space="preserve">Clearpath Regulatory Partners</t>
  </si>
  <si>
    <t xml:space="preserve">regulatory consulting</t>
  </si>
  <si>
    <t xml:space="preserve">2023-02-01</t>
  </si>
  <si>
    <t xml:space="preserve">V-032</t>
  </si>
  <si>
    <t xml:space="preserve">Sorrel CMC Advisors</t>
  </si>
  <si>
    <t xml:space="preserve">CMC consulting</t>
  </si>
  <si>
    <t xml:space="preserve">2022-05-01</t>
  </si>
  <si>
    <t xml:space="preserve">no</t>
  </si>
  <si>
    <t xml:space="preserve">V-033</t>
  </si>
  <si>
    <t xml:space="preserve">Inkwell Medical Writing</t>
  </si>
  <si>
    <t xml:space="preserve">medical writing</t>
  </si>
  <si>
    <t xml:space="preserve">2023-06-12</t>
  </si>
  <si>
    <t xml:space="preserve">2026-12-12</t>
  </si>
  <si>
    <t xml:space="preserve">V-034</t>
  </si>
  <si>
    <t xml:space="preserve">Lingua Clinica</t>
  </si>
  <si>
    <t xml:space="preserve">translation services</t>
  </si>
  <si>
    <t xml:space="preserve">Spain</t>
  </si>
  <si>
    <t xml:space="preserve">2024-06-03</t>
  </si>
  <si>
    <t xml:space="preserve">V-035</t>
  </si>
  <si>
    <t xml:space="preserve">Stratus Clinical Logistics</t>
  </si>
  <si>
    <t xml:space="preserve">specialty logistics</t>
  </si>
  <si>
    <t xml:space="preserve">2024-05-13</t>
  </si>
  <si>
    <t xml:space="preserve">2025-09-16</t>
  </si>
  <si>
    <t xml:space="preserve">2028-09-16</t>
  </si>
  <si>
    <t xml:space="preserve">V-036</t>
  </si>
  <si>
    <t xml:space="preserve">Fenwick Bioanalysis</t>
  </si>
  <si>
    <t xml:space="preserve">2026-08-24</t>
  </si>
  <si>
    <t xml:space="preserve">V-037</t>
  </si>
  <si>
    <t xml:space="preserve">Tidewell Screening</t>
  </si>
  <si>
    <t xml:space="preserve">in vitro profiling</t>
  </si>
  <si>
    <t xml:space="preserve">2020-11-02</t>
  </si>
  <si>
    <t xml:space="preserve">V-038</t>
  </si>
  <si>
    <t xml:space="preserve">Ashcombe Genetic Toxicology</t>
  </si>
  <si>
    <t xml:space="preserve">2025-07-14</t>
  </si>
  <si>
    <t xml:space="preserve">2025-09-30</t>
  </si>
  <si>
    <t xml:space="preserve">2027-09-30</t>
  </si>
  <si>
    <t xml:space="preserve">V-039</t>
  </si>
  <si>
    <t xml:space="preserve">Harborview DSMB Services</t>
  </si>
  <si>
    <t xml:space="preserve">2024-07-01</t>
  </si>
  <si>
    <t xml:space="preserve">2026-11-30</t>
  </si>
  <si>
    <t xml:space="preserve">V-040</t>
  </si>
  <si>
    <t xml:space="preserve">Siteline Recruitment Services</t>
  </si>
  <si>
    <t xml:space="preserve">patient recruitment</t>
  </si>
  <si>
    <t xml:space="preserve">2026-02-23</t>
  </si>
  <si>
    <t xml:space="preserve">2027-02-23</t>
  </si>
  <si>
    <t xml:space="preserve">V-041</t>
  </si>
  <si>
    <t xml:space="preserve">Merrow Clinical Pharmacology Unit</t>
  </si>
  <si>
    <t xml:space="preserve">Phase 1 unit</t>
  </si>
  <si>
    <t xml:space="preserve">2026-07-20</t>
  </si>
  <si>
    <t xml:space="preserve">V-042</t>
  </si>
  <si>
    <t xml:space="preserve">Aster Archive Services</t>
  </si>
  <si>
    <t xml:space="preserve">archiving</t>
  </si>
  <si>
    <t xml:space="preserve">2019-09-01</t>
  </si>
  <si>
    <t xml:space="preserve">2023-10-10</t>
  </si>
  <si>
    <t xml:space="preserve">2026-10-10</t>
  </si>
  <si>
    <t xml:space="preserve">V-043</t>
  </si>
  <si>
    <t xml:space="preserve">Oakmont Statistical Programming</t>
  </si>
  <si>
    <t xml:space="preserve">statistical programming</t>
  </si>
  <si>
    <t xml:space="preserve">2024-08-05</t>
  </si>
  <si>
    <t xml:space="preserve">2026-11-05</t>
  </si>
  <si>
    <t xml:space="preserve">V-044</t>
  </si>
  <si>
    <t xml:space="preserve">Northwind Chamber Services</t>
  </si>
  <si>
    <t xml:space="preserve">2021-01-11</t>
  </si>
  <si>
    <t xml:space="preserve">WO-0001</t>
  </si>
  <si>
    <t xml:space="preserve">PRJ-1107-C1</t>
  </si>
  <si>
    <t xml:space="preserve">work order</t>
  </si>
  <si>
    <t xml:space="preserve">2024-06-01</t>
  </si>
  <si>
    <t xml:space="preserve">2027-12-31</t>
  </si>
  <si>
    <t xml:space="preserve">active</t>
  </si>
  <si>
    <t xml:space="preserve">board</t>
  </si>
  <si>
    <t xml:space="preserve">WO-0002</t>
  </si>
  <si>
    <t xml:space="preserve">change order</t>
  </si>
  <si>
    <t xml:space="preserve">2025-02-10</t>
  </si>
  <si>
    <t xml:space="preserve">CEO</t>
  </si>
  <si>
    <t xml:space="preserve">WO-0003</t>
  </si>
  <si>
    <t xml:space="preserve">2025-09-02</t>
  </si>
  <si>
    <t xml:space="preserve">WO-0004</t>
  </si>
  <si>
    <t xml:space="preserve">2026-02-16</t>
  </si>
  <si>
    <t xml:space="preserve">CFO</t>
  </si>
  <si>
    <t xml:space="preserve">WO-0005</t>
  </si>
  <si>
    <t xml:space="preserve">2026-10-15</t>
  </si>
  <si>
    <t xml:space="preserve">2028-03-31</t>
  </si>
  <si>
    <t xml:space="preserve">pending signature</t>
  </si>
  <si>
    <t xml:space="preserve">WO-0006</t>
  </si>
  <si>
    <t xml:space="preserve">pass-through budget</t>
  </si>
  <si>
    <t xml:space="preserve">2026-01-01</t>
  </si>
  <si>
    <t xml:space="preserve">2026-12-31</t>
  </si>
  <si>
    <t xml:space="preserve">WO-0007</t>
  </si>
  <si>
    <t xml:space="preserve">PRJ-1107-OLE</t>
  </si>
  <si>
    <t xml:space="preserve">2026-04-20</t>
  </si>
  <si>
    <t xml:space="preserve">2028-06-30</t>
  </si>
  <si>
    <t xml:space="preserve">WO-0008</t>
  </si>
  <si>
    <t xml:space="preserve">PRJ-2240-201</t>
  </si>
  <si>
    <t xml:space="preserve">2024-05-01</t>
  </si>
  <si>
    <t xml:space="preserve">2026-07-31</t>
  </si>
  <si>
    <t xml:space="preserve">WO-0009</t>
  </si>
  <si>
    <t xml:space="preserve">2025-06-16</t>
  </si>
  <si>
    <t xml:space="preserve">WO-0010</t>
  </si>
  <si>
    <t xml:space="preserve">2024-07-15</t>
  </si>
  <si>
    <t xml:space="preserve">2027-10-31</t>
  </si>
  <si>
    <t xml:space="preserve">WO-0011</t>
  </si>
  <si>
    <t xml:space="preserve">2026-03-09</t>
  </si>
  <si>
    <t xml:space="preserve">WO-0012</t>
  </si>
  <si>
    <t xml:space="preserve">2026-05-04</t>
  </si>
  <si>
    <t xml:space="preserve">WO-0013</t>
  </si>
  <si>
    <t xml:space="preserve">WO-0014</t>
  </si>
  <si>
    <t xml:space="preserve">2026-05-11</t>
  </si>
  <si>
    <t xml:space="preserve">director</t>
  </si>
  <si>
    <t xml:space="preserve">WO-0015</t>
  </si>
  <si>
    <t xml:space="preserve">WO-0016</t>
  </si>
  <si>
    <t xml:space="preserve">2026-01-19</t>
  </si>
  <si>
    <t xml:space="preserve">WO-0017</t>
  </si>
  <si>
    <t xml:space="preserve">PRJ-1107</t>
  </si>
  <si>
    <t xml:space="preserve">2024-06-17</t>
  </si>
  <si>
    <t xml:space="preserve">WO-0018</t>
  </si>
  <si>
    <t xml:space="preserve">2026-05-18</t>
  </si>
  <si>
    <t xml:space="preserve">WO-0019</t>
  </si>
  <si>
    <t xml:space="preserve">WO-0020</t>
  </si>
  <si>
    <t xml:space="preserve">2025-01-13</t>
  </si>
  <si>
    <t xml:space="preserve">WO-0021</t>
  </si>
  <si>
    <t xml:space="preserve">PRJ-1107-CMC</t>
  </si>
  <si>
    <t xml:space="preserve">2024-08-12</t>
  </si>
  <si>
    <t xml:space="preserve">WO-0022</t>
  </si>
  <si>
    <t xml:space="preserve">2025-11-17</t>
  </si>
  <si>
    <t xml:space="preserve">WO-0023</t>
  </si>
  <si>
    <t xml:space="preserve">WO-0024</t>
  </si>
  <si>
    <t xml:space="preserve">PRJ-3318-SUP</t>
  </si>
  <si>
    <t xml:space="preserve">2027-06-30</t>
  </si>
  <si>
    <t xml:space="preserve">WO-0025</t>
  </si>
  <si>
    <t xml:space="preserve">PRJ-4051-IND</t>
  </si>
  <si>
    <t xml:space="preserve">2025-11-03</t>
  </si>
  <si>
    <t xml:space="preserve">2027-01-29</t>
  </si>
  <si>
    <t xml:space="preserve">WO-0026</t>
  </si>
  <si>
    <t xml:space="preserve">WO-0027</t>
  </si>
  <si>
    <t xml:space="preserve">2025-12-01</t>
  </si>
  <si>
    <t xml:space="preserve">WO-0028</t>
  </si>
  <si>
    <t xml:space="preserve">2024-09-02</t>
  </si>
  <si>
    <t xml:space="preserve">WO-0029</t>
  </si>
  <si>
    <t xml:space="preserve">2026-04-30</t>
  </si>
  <si>
    <t xml:space="preserve">complete</t>
  </si>
  <si>
    <t xml:space="preserve">WO-0030</t>
  </si>
  <si>
    <t xml:space="preserve">2026-02-02</t>
  </si>
  <si>
    <t xml:space="preserve">2026-12-18</t>
  </si>
  <si>
    <t xml:space="preserve">WO-0031</t>
  </si>
  <si>
    <t xml:space="preserve">PRJ-DP07</t>
  </si>
  <si>
    <t xml:space="preserve">2026-06-15</t>
  </si>
  <si>
    <t xml:space="preserve">WO-0032</t>
  </si>
  <si>
    <t xml:space="preserve">2026-01-05</t>
  </si>
  <si>
    <t xml:space="preserve">WO-0033</t>
  </si>
  <si>
    <t xml:space="preserve">2025-10-20</t>
  </si>
  <si>
    <t xml:space="preserve">2026-06-30</t>
  </si>
  <si>
    <t xml:space="preserve">WO-0034</t>
  </si>
  <si>
    <t xml:space="preserve">WO-0035</t>
  </si>
  <si>
    <t xml:space="preserve">2026-04-06</t>
  </si>
  <si>
    <t xml:space="preserve">WO-0036</t>
  </si>
  <si>
    <t xml:space="preserve">PRJ-DP09</t>
  </si>
  <si>
    <t xml:space="preserve">WO-0037</t>
  </si>
  <si>
    <t xml:space="preserve">PRJ-DP12</t>
  </si>
  <si>
    <t xml:space="preserve">2027-03-31</t>
  </si>
  <si>
    <t xml:space="preserve">WO-0038</t>
  </si>
  <si>
    <t xml:space="preserve">2025-09-15</t>
  </si>
  <si>
    <t xml:space="preserve">WO-0039</t>
  </si>
  <si>
    <t xml:space="preserve">2025-03-03</t>
  </si>
  <si>
    <t xml:space="preserve">2026-02-27</t>
  </si>
  <si>
    <t xml:space="preserve">WO-0040</t>
  </si>
  <si>
    <t xml:space="preserve">2025-12-15</t>
  </si>
  <si>
    <t xml:space="preserve">WO-0041</t>
  </si>
  <si>
    <t xml:space="preserve">PRJ-3318-TT</t>
  </si>
  <si>
    <t xml:space="preserve">WO-0042</t>
  </si>
  <si>
    <t xml:space="preserve">PRJ-4051-CMC</t>
  </si>
  <si>
    <t xml:space="preserve">2026-06-01</t>
  </si>
  <si>
    <t xml:space="preserve">WO-0043</t>
  </si>
  <si>
    <t xml:space="preserve">PRJ-BAPI</t>
  </si>
  <si>
    <t xml:space="preserve">WO-0044</t>
  </si>
  <si>
    <t xml:space="preserve">WO-0045</t>
  </si>
  <si>
    <t xml:space="preserve">WO-0046</t>
  </si>
  <si>
    <t xml:space="preserve">2026-03-02</t>
  </si>
  <si>
    <t xml:space="preserve">2027-04-30</t>
  </si>
  <si>
    <t xml:space="preserve">WO-0047</t>
  </si>
  <si>
    <t xml:space="preserve">2025-01-06</t>
  </si>
  <si>
    <t xml:space="preserve">WO-0048</t>
  </si>
  <si>
    <t xml:space="preserve">2026-07-06</t>
  </si>
  <si>
    <t xml:space="preserve">WO-0049</t>
  </si>
  <si>
    <t xml:space="preserve">WO-0050</t>
  </si>
  <si>
    <t xml:space="preserve">PRJ-LAB</t>
  </si>
  <si>
    <t xml:space="preserve">WO-0051</t>
  </si>
  <si>
    <t xml:space="preserve">PRJ-2240-BD</t>
  </si>
  <si>
    <t xml:space="preserve">2026-04-01</t>
  </si>
  <si>
    <t xml:space="preserve">WO-0052</t>
  </si>
  <si>
    <t xml:space="preserve">PRJ-SUPPORT</t>
  </si>
  <si>
    <t xml:space="preserve">WO-0053</t>
  </si>
  <si>
    <t xml:space="preserve">WO-0054</t>
  </si>
  <si>
    <t xml:space="preserve">WO-0055</t>
  </si>
  <si>
    <t xml:space="preserve">WO-0056</t>
  </si>
  <si>
    <t xml:space="preserve">WO-0057</t>
  </si>
  <si>
    <t xml:space="preserve">WO-0058</t>
  </si>
  <si>
    <t xml:space="preserve">WO-0059</t>
  </si>
  <si>
    <t xml:space="preserve">WO-0060</t>
  </si>
  <si>
    <t xml:space="preserve">2026-03-16</t>
  </si>
  <si>
    <t xml:space="preserve">WO-0061</t>
  </si>
  <si>
    <t xml:space="preserve">2025-07-07</t>
  </si>
  <si>
    <t xml:space="preserve">WO-0062</t>
  </si>
  <si>
    <t xml:space="preserve">WO-0063</t>
  </si>
  <si>
    <t xml:space="preserve">2026-08-03</t>
  </si>
  <si>
    <t xml:space="preserve">2027-05-28</t>
  </si>
  <si>
    <t xml:space="preserve">WO-0064</t>
  </si>
  <si>
    <t xml:space="preserve">2024-07-08</t>
  </si>
  <si>
    <t xml:space="preserve">WO-0065</t>
  </si>
  <si>
    <t xml:space="preserve">2024-07-22</t>
  </si>
  <si>
    <t xml:space="preserve">WO-0066</t>
  </si>
  <si>
    <t xml:space="preserve">PRJ-LCMS</t>
  </si>
  <si>
    <t xml:space="preserve">WO-0067</t>
  </si>
  <si>
    <t xml:space="preserve">2024-09-09</t>
  </si>
  <si>
    <t xml:space="preserve">WO-0068</t>
  </si>
  <si>
    <t xml:space="preserve">WO-0069</t>
  </si>
  <si>
    <t xml:space="preserve">PRJ-4051</t>
  </si>
  <si>
    <t xml:space="preserve">2026-10-30</t>
  </si>
  <si>
    <t xml:space="preserve">WO-0070</t>
  </si>
  <si>
    <t xml:space="preserve">WO-0071</t>
  </si>
  <si>
    <t xml:space="preserve">2024-09-16</t>
  </si>
  <si>
    <t xml:space="preserve">WO-0072</t>
  </si>
  <si>
    <t xml:space="preserve">2025-02-03</t>
  </si>
  <si>
    <t xml:space="preserve">2025-12-19</t>
  </si>
  <si>
    <t xml:space="preserve">WO-0073</t>
  </si>
  <si>
    <t xml:space="preserve">2024-03-04</t>
  </si>
  <si>
    <t xml:space="preserve">2025-06-30</t>
  </si>
  <si>
    <t xml:space="preserve">WO-0074</t>
  </si>
  <si>
    <t xml:space="preserve">2025-12-31</t>
  </si>
  <si>
    <t xml:space="preserve">WO-0075</t>
  </si>
  <si>
    <t xml:space="preserve">SOW amendment</t>
  </si>
  <si>
    <t xml:space="preserve">WO-0076</t>
  </si>
  <si>
    <t xml:space="preserve">2026-05-20</t>
  </si>
  <si>
    <t xml:space="preserve">WO-0077</t>
  </si>
  <si>
    <t xml:space="preserve">2025-03-21</t>
  </si>
  <si>
    <t xml:space="preserve">WO-0078</t>
  </si>
  <si>
    <t xml:space="preserve">2026-06-03</t>
  </si>
  <si>
    <t xml:space="preserve">WO-0079</t>
  </si>
  <si>
    <t xml:space="preserve">WO-0080</t>
  </si>
  <si>
    <t xml:space="preserve">2026-08-06</t>
  </si>
  <si>
    <t xml:space="preserve">WO-0081</t>
  </si>
  <si>
    <t xml:space="preserve">WO-0082</t>
  </si>
  <si>
    <t xml:space="preserve">WO-0083</t>
  </si>
  <si>
    <t xml:space="preserve">2026-08-31</t>
  </si>
  <si>
    <t xml:space="preserve">WO-0084</t>
  </si>
  <si>
    <t xml:space="preserve">2025-06-20</t>
  </si>
  <si>
    <t xml:space="preserve">WO-0085</t>
  </si>
  <si>
    <t xml:space="preserve">2025-08-05</t>
  </si>
  <si>
    <t xml:space="preserve">WO-0086</t>
  </si>
  <si>
    <t xml:space="preserve">2026-06-04</t>
  </si>
  <si>
    <t xml:space="preserve">WO-0087</t>
  </si>
  <si>
    <t xml:space="preserve">WO-0088</t>
  </si>
  <si>
    <t xml:space="preserve">2026-06-08</t>
  </si>
  <si>
    <t xml:space="preserve">WO-0089</t>
  </si>
  <si>
    <t xml:space="preserve">2026-08-04</t>
  </si>
  <si>
    <t xml:space="preserve">WO-0090</t>
  </si>
  <si>
    <t xml:space="preserve">2025-09-05</t>
  </si>
  <si>
    <t xml:space="preserve">WO-0091</t>
  </si>
  <si>
    <t xml:space="preserve">2026-03-31</t>
  </si>
  <si>
    <t xml:space="preserve">WO-0092</t>
  </si>
  <si>
    <t xml:space="preserve">2026-09-01</t>
  </si>
  <si>
    <t xml:space="preserve">WO-0093</t>
  </si>
  <si>
    <t xml:space="preserve">2026-07-15</t>
  </si>
  <si>
    <t xml:space="preserve">WO-0094</t>
  </si>
  <si>
    <t xml:space="preserve">2026-06-02</t>
  </si>
  <si>
    <t xml:space="preserve">WO-0095</t>
  </si>
  <si>
    <t xml:space="preserve">WO-0096</t>
  </si>
  <si>
    <t xml:space="preserve">WO-0097</t>
  </si>
  <si>
    <t xml:space="preserve">2026-03-18</t>
  </si>
  <si>
    <t xml:space="preserve">WO-0098</t>
  </si>
  <si>
    <t xml:space="preserve">2025-09-22</t>
  </si>
  <si>
    <t xml:space="preserve">WO-0099</t>
  </si>
  <si>
    <t xml:space="preserve">WO-0100</t>
  </si>
  <si>
    <t xml:space="preserve">2026-01-28</t>
  </si>
  <si>
    <t xml:space="preserve">WO-0101</t>
  </si>
  <si>
    <t xml:space="preserve">2026-06-16</t>
  </si>
  <si>
    <t xml:space="preserve">WO-0102</t>
  </si>
  <si>
    <t xml:space="preserve">2026-08-13</t>
  </si>
  <si>
    <t xml:space="preserve">WO-0103</t>
  </si>
  <si>
    <t xml:space="preserve">2026-07-01</t>
  </si>
  <si>
    <t xml:space="preserve">WO-0104</t>
  </si>
  <si>
    <t xml:space="preserve">WO-0105</t>
  </si>
  <si>
    <t xml:space="preserve">2026-08-11</t>
  </si>
  <si>
    <t xml:space="preserve">WO-0106</t>
  </si>
  <si>
    <t xml:space="preserve">2026-09-14</t>
  </si>
  <si>
    <t xml:space="preserve">WO-0107</t>
  </si>
  <si>
    <t xml:space="preserve">2026-05-26</t>
  </si>
  <si>
    <t xml:space="preserve">WO-0108</t>
  </si>
  <si>
    <t xml:space="preserve">2025-04-25</t>
  </si>
  <si>
    <t xml:space="preserve">WO-0109</t>
  </si>
  <si>
    <t xml:space="preserve">2026-08-05</t>
  </si>
  <si>
    <t xml:space="preserve">WO-0110</t>
  </si>
  <si>
    <t xml:space="preserve">2026-08-18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</si>
</sst>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M45" headerRowCount="1" totalsRowCount="0" totalsRowShown="0">
  <autoFilter ref="A1:M45"/>
  <tableColumns count="13">
    <tableColumn id="1" name="vendor_id"/>
    <tableColumn id="2" name="vendor_name"/>
    <tableColumn id="3" name="service_category"/>
    <tableColumn id="4" name="country"/>
    <tableColumn id="5" name="gxp_scope"/>
    <tableColumn id="6" name="risk_tier"/>
    <tableColumn id="7" name="qualification_status"/>
    <tableColumn id="8" name="msa_effective"/>
    <tableColumn id="9" name="last_audit"/>
    <tableColumn id="10" name="next_audit_due"/>
    <tableColumn id="11" name="quality_agreement"/>
    <tableColumn id="12" name="relationship_owner"/>
    <tableColumn id="13" name="active_2026"/>
  </tableColumns>
</table>
</file>

<file path=xl/tables/table2.xml><?xml version="1.0" encoding="utf-8"?>
<table xmlns="http://schemas.openxmlformats.org/spreadsheetml/2006/main" id="2" name="Extract2" displayName="Extract2" ref="A1:L111" headerRowCount="1" totalsRowCount="0" totalsRowShown="0">
  <autoFilter ref="A1:L111"/>
  <tableColumns count="12">
    <tableColumn id="1" name="wo_id"/>
    <tableColumn id="2" name="committed_usd"/>
    <tableColumn id="3" name="vendor_id"/>
    <tableColumn id="4" name="service_category"/>
    <tableColumn id="5" name="project"/>
    <tableColumn id="6" name="wo_type"/>
    <tableColumn id="7" name="parent_wo"/>
    <tableColumn id="8" name="effective_date"/>
    <tableColumn id="9" name="end_date"/>
    <tableColumn id="10" name="pass_through_estimate_usd"/>
    <tableColumn id="11" name="status"/>
    <tableColumn id="12" name="approval_lev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6.8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4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60" hidden="false" customHeight="true" outlineLevel="0" collapsed="false">
      <c r="A7" s="3" t="s">
        <v>10</v>
      </c>
      <c r="B7" s="3" t="s">
        <v>11</v>
      </c>
    </row>
    <row r="8" customFormat="false" ht="45" hidden="false" customHeight="true" outlineLevel="0" collapsed="false">
      <c r="A8" s="3" t="s">
        <v>12</v>
      </c>
      <c r="B8" s="3" t="s">
        <v>13</v>
      </c>
    </row>
    <row r="9" customFormat="false" ht="45" hidden="false" customHeight="true" outlineLevel="0" collapsed="false">
      <c r="A9" s="3" t="s">
        <v>12</v>
      </c>
      <c r="B9" s="3" t="s">
        <v>14</v>
      </c>
    </row>
    <row r="10" customFormat="false" ht="31.5" hidden="false" customHeight="true" outlineLevel="0" collapsed="false">
      <c r="A10" s="3" t="s">
        <v>12</v>
      </c>
      <c r="B10" s="3" t="s">
        <v>15</v>
      </c>
    </row>
    <row r="11" customFormat="false" ht="60" hidden="false" customHeight="true" outlineLevel="0" collapsed="false">
      <c r="A11" s="3" t="s">
        <v>16</v>
      </c>
      <c r="B11" s="3" t="s">
        <v>17</v>
      </c>
    </row>
    <row r="12" customFormat="false" ht="31.5" hidden="false" customHeight="true" outlineLevel="0" collapsed="false">
      <c r="A12" s="3" t="s">
        <v>16</v>
      </c>
      <c r="B12" s="3" t="s">
        <v>18</v>
      </c>
    </row>
    <row r="13" customFormat="false" ht="75" hidden="false" customHeight="true" outlineLevel="0" collapsed="false">
      <c r="A13" s="3" t="s">
        <v>19</v>
      </c>
      <c r="B13" s="3" t="s">
        <v>20</v>
      </c>
    </row>
    <row r="14" customFormat="false" ht="45" hidden="false" customHeight="true" outlineLevel="0" collapsed="false">
      <c r="A14" s="3" t="s">
        <v>19</v>
      </c>
      <c r="B14" s="3" t="s">
        <v>21</v>
      </c>
    </row>
    <row r="15" customFormat="false" ht="60" hidden="false" customHeight="true" outlineLevel="0" collapsed="false">
      <c r="A15" s="3" t="s">
        <v>22</v>
      </c>
      <c r="B15" s="3" t="s">
        <v>23</v>
      </c>
    </row>
    <row r="16" customFormat="false" ht="60" hidden="false" customHeight="true" outlineLevel="0" collapsed="false">
      <c r="A16" s="3" t="s">
        <v>24</v>
      </c>
      <c r="B16" s="3" t="s">
        <v>25</v>
      </c>
    </row>
    <row r="17" customFormat="false" ht="45" hidden="false" customHeight="true" outlineLevel="0" collapsed="false">
      <c r="A17" s="3" t="s">
        <v>26</v>
      </c>
      <c r="B17" s="3" t="s">
        <v>27</v>
      </c>
    </row>
    <row r="18" customFormat="false" ht="31.5" hidden="false" customHeight="true" outlineLevel="0" collapsed="false">
      <c r="A18" s="3" t="s">
        <v>28</v>
      </c>
      <c r="B18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customFormat="false" ht="31.5" hidden="false" customHeight="true" outlineLevel="0" collapsed="false">
      <c r="A2" s="3" t="s">
        <v>38</v>
      </c>
      <c r="B2" s="3" t="s">
        <v>39</v>
      </c>
      <c r="C2" s="3" t="s">
        <v>40</v>
      </c>
      <c r="D2" s="4"/>
      <c r="E2" s="4"/>
      <c r="F2" s="0" t="n">
        <f aca="false">COUNTA('Data 1'!A2:A45)</f>
        <v>44</v>
      </c>
      <c r="G2" s="3" t="s">
        <v>41</v>
      </c>
      <c r="H2" s="3" t="s">
        <v>3</v>
      </c>
    </row>
    <row r="3" customFormat="false" ht="45" hidden="false" customHeight="true" outlineLevel="0" collapsed="false">
      <c r="A3" s="3" t="s">
        <v>42</v>
      </c>
      <c r="B3" s="3" t="s">
        <v>43</v>
      </c>
      <c r="C3" s="3" t="s">
        <v>44</v>
      </c>
      <c r="D3" s="4" t="n">
        <f aca="false">SUM('Data 2'!B2:B111)</f>
        <v>128091000</v>
      </c>
      <c r="E3" s="4" t="n">
        <f aca="false">IF(COUNT('Data 2'!B2:B111)=0,0,AVERAGE('Data 2'!B2:B111))</f>
        <v>1164463.63636364</v>
      </c>
      <c r="F3" s="0" t="n">
        <f aca="false">COUNT('Data 2'!B2:B111)</f>
        <v>110</v>
      </c>
      <c r="G3" s="3" t="s">
        <v>45</v>
      </c>
      <c r="H3" s="3" t="s">
        <v>3</v>
      </c>
    </row>
    <row r="4" customFormat="false" ht="45" hidden="false" customHeight="true" outlineLevel="0" collapsed="false">
      <c r="A4" s="3" t="s">
        <v>42</v>
      </c>
      <c r="B4" s="3" t="s">
        <v>46</v>
      </c>
      <c r="C4" s="3" t="s">
        <v>44</v>
      </c>
      <c r="D4" s="4" t="n">
        <f aca="false">SUM('Data 2'!J2:J111)</f>
        <v>38660000</v>
      </c>
      <c r="E4" s="4" t="n">
        <f aca="false">IF(COUNT('Data 2'!J2:J111)=0,0,AVERAGE('Data 2'!J2:J111))</f>
        <v>2416250</v>
      </c>
      <c r="F4" s="0" t="n">
        <f aca="false">COUNT('Data 2'!J2:J111)</f>
        <v>16</v>
      </c>
      <c r="G4" s="3" t="s">
        <v>45</v>
      </c>
      <c r="H4" s="3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30</v>
      </c>
      <c r="B1" s="1" t="s">
        <v>47</v>
      </c>
      <c r="C1" s="1" t="s">
        <v>48</v>
      </c>
      <c r="D1" s="1" t="s">
        <v>32</v>
      </c>
      <c r="E1" s="1" t="s">
        <v>49</v>
      </c>
      <c r="F1" s="1" t="s">
        <v>50</v>
      </c>
    </row>
    <row r="2" customFormat="false" ht="31.5" hidden="false" customHeight="true" outlineLevel="0" collapsed="false">
      <c r="A2" s="3" t="s">
        <v>38</v>
      </c>
      <c r="B2" s="3" t="s">
        <v>51</v>
      </c>
      <c r="C2" s="3" t="s">
        <v>52</v>
      </c>
      <c r="D2" s="3"/>
      <c r="E2" s="3" t="s">
        <v>53</v>
      </c>
      <c r="F2" s="3"/>
    </row>
    <row r="3" customFormat="false" ht="31.5" hidden="false" customHeight="true" outlineLevel="0" collapsed="false">
      <c r="A3" s="3" t="s">
        <v>38</v>
      </c>
      <c r="B3" s="3" t="s">
        <v>54</v>
      </c>
      <c r="C3" s="3" t="s">
        <v>55</v>
      </c>
      <c r="D3" s="3"/>
      <c r="E3" s="3" t="s">
        <v>56</v>
      </c>
      <c r="F3" s="3"/>
    </row>
    <row r="4" customFormat="false" ht="31.5" hidden="false" customHeight="true" outlineLevel="0" collapsed="false">
      <c r="A4" s="3" t="s">
        <v>38</v>
      </c>
      <c r="B4" s="3" t="s">
        <v>57</v>
      </c>
      <c r="C4" s="3" t="s">
        <v>58</v>
      </c>
      <c r="D4" s="3"/>
      <c r="E4" s="3" t="s">
        <v>56</v>
      </c>
      <c r="F4" s="3"/>
    </row>
    <row r="5" customFormat="false" ht="31.5" hidden="false" customHeight="true" outlineLevel="0" collapsed="false">
      <c r="A5" s="3" t="s">
        <v>38</v>
      </c>
      <c r="B5" s="3" t="s">
        <v>59</v>
      </c>
      <c r="C5" s="3" t="s">
        <v>60</v>
      </c>
      <c r="D5" s="3"/>
      <c r="E5" s="3" t="s">
        <v>56</v>
      </c>
      <c r="F5" s="3"/>
    </row>
    <row r="6" customFormat="false" ht="31.5" hidden="false" customHeight="true" outlineLevel="0" collapsed="false">
      <c r="A6" s="3" t="s">
        <v>38</v>
      </c>
      <c r="B6" s="3" t="s">
        <v>61</v>
      </c>
      <c r="C6" s="3" t="s">
        <v>62</v>
      </c>
      <c r="D6" s="3"/>
      <c r="E6" s="3" t="s">
        <v>56</v>
      </c>
      <c r="F6" s="3"/>
    </row>
    <row r="7" customFormat="false" ht="31.5" hidden="false" customHeight="true" outlineLevel="0" collapsed="false">
      <c r="A7" s="3" t="s">
        <v>38</v>
      </c>
      <c r="B7" s="3" t="s">
        <v>63</v>
      </c>
      <c r="C7" s="3" t="s">
        <v>64</v>
      </c>
      <c r="D7" s="3"/>
      <c r="E7" s="3" t="s">
        <v>56</v>
      </c>
      <c r="F7" s="3"/>
    </row>
    <row r="8" customFormat="false" ht="31.5" hidden="false" customHeight="true" outlineLevel="0" collapsed="false">
      <c r="A8" s="3" t="s">
        <v>38</v>
      </c>
      <c r="B8" s="3" t="s">
        <v>65</v>
      </c>
      <c r="C8" s="3" t="s">
        <v>19</v>
      </c>
      <c r="D8" s="3"/>
      <c r="E8" s="3" t="s">
        <v>56</v>
      </c>
      <c r="F8" s="3"/>
    </row>
    <row r="9" customFormat="false" ht="31.5" hidden="false" customHeight="true" outlineLevel="0" collapsed="false">
      <c r="A9" s="3" t="s">
        <v>38</v>
      </c>
      <c r="B9" s="3" t="s">
        <v>66</v>
      </c>
      <c r="C9" s="3" t="s">
        <v>67</v>
      </c>
      <c r="D9" s="3"/>
      <c r="E9" s="3" t="s">
        <v>68</v>
      </c>
      <c r="F9" s="3"/>
    </row>
    <row r="10" customFormat="false" ht="31.5" hidden="false" customHeight="true" outlineLevel="0" collapsed="false">
      <c r="A10" s="3" t="s">
        <v>38</v>
      </c>
      <c r="B10" s="3" t="s">
        <v>69</v>
      </c>
      <c r="C10" s="3" t="s">
        <v>70</v>
      </c>
      <c r="D10" s="3"/>
      <c r="E10" s="3" t="s">
        <v>56</v>
      </c>
      <c r="F10" s="3"/>
    </row>
    <row r="11" customFormat="false" ht="31.5" hidden="false" customHeight="true" outlineLevel="0" collapsed="false">
      <c r="A11" s="3" t="s">
        <v>38</v>
      </c>
      <c r="B11" s="3" t="s">
        <v>71</v>
      </c>
      <c r="C11" s="3" t="s">
        <v>72</v>
      </c>
      <c r="D11" s="3"/>
      <c r="E11" s="3" t="s">
        <v>56</v>
      </c>
      <c r="F11" s="3"/>
    </row>
    <row r="12" customFormat="false" ht="31.5" hidden="false" customHeight="true" outlineLevel="0" collapsed="false">
      <c r="A12" s="3" t="s">
        <v>38</v>
      </c>
      <c r="B12" s="3" t="s">
        <v>73</v>
      </c>
      <c r="C12" s="3" t="s">
        <v>74</v>
      </c>
      <c r="D12" s="3"/>
      <c r="E12" s="3" t="s">
        <v>56</v>
      </c>
      <c r="F12" s="3"/>
    </row>
    <row r="13" customFormat="false" ht="31.5" hidden="false" customHeight="true" outlineLevel="0" collapsed="false">
      <c r="A13" s="3" t="s">
        <v>38</v>
      </c>
      <c r="B13" s="3" t="s">
        <v>75</v>
      </c>
      <c r="C13" s="3" t="s">
        <v>76</v>
      </c>
      <c r="D13" s="3"/>
      <c r="E13" s="3" t="s">
        <v>56</v>
      </c>
      <c r="F13" s="3"/>
    </row>
    <row r="14" customFormat="false" ht="31.5" hidden="false" customHeight="true" outlineLevel="0" collapsed="false">
      <c r="A14" s="3" t="s">
        <v>38</v>
      </c>
      <c r="B14" s="3" t="s">
        <v>77</v>
      </c>
      <c r="C14" s="3" t="s">
        <v>78</v>
      </c>
      <c r="D14" s="3"/>
      <c r="E14" s="3" t="s">
        <v>56</v>
      </c>
      <c r="F14" s="3"/>
    </row>
    <row r="15" customFormat="false" ht="31.5" hidden="false" customHeight="true" outlineLevel="0" collapsed="false">
      <c r="A15" s="3" t="s">
        <v>42</v>
      </c>
      <c r="B15" s="3" t="s">
        <v>79</v>
      </c>
      <c r="C15" s="3" t="s">
        <v>80</v>
      </c>
      <c r="D15" s="3"/>
      <c r="E15" s="3" t="s">
        <v>53</v>
      </c>
      <c r="F15" s="3"/>
    </row>
    <row r="16" customFormat="false" ht="31.5" hidden="false" customHeight="true" outlineLevel="0" collapsed="false">
      <c r="A16" s="3" t="s">
        <v>42</v>
      </c>
      <c r="B16" s="3" t="s">
        <v>43</v>
      </c>
      <c r="C16" s="3" t="s">
        <v>81</v>
      </c>
      <c r="D16" s="3" t="s">
        <v>44</v>
      </c>
      <c r="E16" s="3" t="s">
        <v>82</v>
      </c>
      <c r="F16" s="3"/>
    </row>
    <row r="17" customFormat="false" ht="31.5" hidden="false" customHeight="true" outlineLevel="0" collapsed="false">
      <c r="A17" s="3" t="s">
        <v>42</v>
      </c>
      <c r="B17" s="3" t="s">
        <v>51</v>
      </c>
      <c r="C17" s="3" t="s">
        <v>52</v>
      </c>
      <c r="D17" s="3"/>
      <c r="E17" s="3" t="s">
        <v>56</v>
      </c>
      <c r="F17" s="3"/>
    </row>
    <row r="18" customFormat="false" ht="31.5" hidden="false" customHeight="true" outlineLevel="0" collapsed="false">
      <c r="A18" s="3" t="s">
        <v>42</v>
      </c>
      <c r="B18" s="3" t="s">
        <v>57</v>
      </c>
      <c r="C18" s="3" t="s">
        <v>58</v>
      </c>
      <c r="D18" s="3"/>
      <c r="E18" s="3" t="s">
        <v>56</v>
      </c>
      <c r="F18" s="3"/>
    </row>
    <row r="19" customFormat="false" ht="31.5" hidden="false" customHeight="true" outlineLevel="0" collapsed="false">
      <c r="A19" s="3" t="s">
        <v>42</v>
      </c>
      <c r="B19" s="3" t="s">
        <v>83</v>
      </c>
      <c r="C19" s="3" t="s">
        <v>84</v>
      </c>
      <c r="D19" s="3"/>
      <c r="E19" s="3" t="s">
        <v>56</v>
      </c>
      <c r="F19" s="3"/>
    </row>
    <row r="20" customFormat="false" ht="31.5" hidden="false" customHeight="true" outlineLevel="0" collapsed="false">
      <c r="A20" s="3" t="s">
        <v>42</v>
      </c>
      <c r="B20" s="3" t="s">
        <v>85</v>
      </c>
      <c r="C20" s="3" t="s">
        <v>86</v>
      </c>
      <c r="D20" s="3"/>
      <c r="E20" s="3" t="s">
        <v>56</v>
      </c>
      <c r="F20" s="3"/>
    </row>
    <row r="21" customFormat="false" ht="31.5" hidden="false" customHeight="true" outlineLevel="0" collapsed="false">
      <c r="A21" s="3" t="s">
        <v>42</v>
      </c>
      <c r="B21" s="3" t="s">
        <v>87</v>
      </c>
      <c r="C21" s="3" t="s">
        <v>88</v>
      </c>
      <c r="D21" s="3"/>
      <c r="E21" s="3" t="s">
        <v>56</v>
      </c>
      <c r="F21" s="3"/>
    </row>
    <row r="22" customFormat="false" ht="31.5" hidden="false" customHeight="true" outlineLevel="0" collapsed="false">
      <c r="A22" s="3" t="s">
        <v>42</v>
      </c>
      <c r="B22" s="3" t="s">
        <v>89</v>
      </c>
      <c r="C22" s="3" t="s">
        <v>2</v>
      </c>
      <c r="D22" s="3"/>
      <c r="E22" s="3" t="s">
        <v>68</v>
      </c>
      <c r="F22" s="3"/>
    </row>
    <row r="23" customFormat="false" ht="31.5" hidden="false" customHeight="true" outlineLevel="0" collapsed="false">
      <c r="A23" s="3" t="s">
        <v>42</v>
      </c>
      <c r="B23" s="3" t="s">
        <v>90</v>
      </c>
      <c r="C23" s="3" t="s">
        <v>91</v>
      </c>
      <c r="D23" s="3"/>
      <c r="E23" s="3" t="s">
        <v>68</v>
      </c>
      <c r="F23" s="3"/>
    </row>
    <row r="24" customFormat="false" ht="45" hidden="false" customHeight="true" outlineLevel="0" collapsed="false">
      <c r="A24" s="3" t="s">
        <v>42</v>
      </c>
      <c r="B24" s="3" t="s">
        <v>46</v>
      </c>
      <c r="C24" s="3" t="s">
        <v>92</v>
      </c>
      <c r="D24" s="3" t="s">
        <v>44</v>
      </c>
      <c r="E24" s="3" t="s">
        <v>82</v>
      </c>
      <c r="F24" s="3"/>
    </row>
    <row r="25" customFormat="false" ht="31.5" hidden="false" customHeight="true" outlineLevel="0" collapsed="false">
      <c r="A25" s="3" t="s">
        <v>42</v>
      </c>
      <c r="B25" s="3" t="s">
        <v>93</v>
      </c>
      <c r="C25" s="3" t="s">
        <v>94</v>
      </c>
      <c r="D25" s="3"/>
      <c r="E25" s="3" t="s">
        <v>56</v>
      </c>
      <c r="F25" s="3"/>
    </row>
    <row r="26" customFormat="false" ht="31.5" hidden="false" customHeight="true" outlineLevel="0" collapsed="false">
      <c r="A26" s="3" t="s">
        <v>42</v>
      </c>
      <c r="B26" s="3" t="s">
        <v>95</v>
      </c>
      <c r="C26" s="3" t="s">
        <v>22</v>
      </c>
      <c r="D26" s="3"/>
      <c r="E26" s="3" t="s">
        <v>56</v>
      </c>
      <c r="F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25"/>
  </cols>
  <sheetData>
    <row r="1" customFormat="false" ht="15" hidden="false" customHeight="false" outlineLevel="0" collapsed="false">
      <c r="A1" s="1" t="s">
        <v>51</v>
      </c>
      <c r="B1" s="1" t="s">
        <v>54</v>
      </c>
      <c r="C1" s="1" t="s">
        <v>57</v>
      </c>
      <c r="D1" s="1" t="s">
        <v>59</v>
      </c>
      <c r="E1" s="1" t="s">
        <v>61</v>
      </c>
      <c r="F1" s="1" t="s">
        <v>63</v>
      </c>
      <c r="G1" s="1" t="s">
        <v>65</v>
      </c>
      <c r="H1" s="1" t="s">
        <v>66</v>
      </c>
      <c r="I1" s="1" t="s">
        <v>69</v>
      </c>
      <c r="J1" s="1" t="s">
        <v>71</v>
      </c>
      <c r="K1" s="1" t="s">
        <v>73</v>
      </c>
      <c r="L1" s="1" t="s">
        <v>75</v>
      </c>
      <c r="M1" s="1" t="s">
        <v>77</v>
      </c>
    </row>
    <row r="2" customFormat="false" ht="15" hidden="false" customHeight="false" outlineLevel="0" collapsed="false">
      <c r="A2" s="3" t="s">
        <v>96</v>
      </c>
      <c r="B2" s="3" t="s">
        <v>97</v>
      </c>
      <c r="C2" s="3" t="s">
        <v>98</v>
      </c>
      <c r="D2" s="3" t="s">
        <v>99</v>
      </c>
      <c r="E2" s="3" t="s">
        <v>100</v>
      </c>
      <c r="F2" s="3" t="s">
        <v>101</v>
      </c>
      <c r="G2" s="3" t="s">
        <v>102</v>
      </c>
      <c r="H2" s="3" t="s">
        <v>103</v>
      </c>
      <c r="I2" s="3" t="s">
        <v>104</v>
      </c>
      <c r="J2" s="3" t="s">
        <v>105</v>
      </c>
      <c r="K2" s="3" t="s">
        <v>106</v>
      </c>
      <c r="L2" s="3" t="s">
        <v>107</v>
      </c>
      <c r="M2" s="3" t="s">
        <v>108</v>
      </c>
    </row>
    <row r="3" customFormat="false" ht="15" hidden="false" customHeight="false" outlineLevel="0" collapsed="false">
      <c r="A3" s="3" t="s">
        <v>109</v>
      </c>
      <c r="B3" s="3" t="s">
        <v>110</v>
      </c>
      <c r="C3" s="3" t="s">
        <v>98</v>
      </c>
      <c r="D3" s="3" t="s">
        <v>99</v>
      </c>
      <c r="E3" s="3" t="s">
        <v>100</v>
      </c>
      <c r="F3" s="3" t="s">
        <v>101</v>
      </c>
      <c r="G3" s="3" t="s">
        <v>111</v>
      </c>
      <c r="H3" s="3" t="s">
        <v>112</v>
      </c>
      <c r="I3" s="3" t="s">
        <v>113</v>
      </c>
      <c r="J3" s="3" t="s">
        <v>114</v>
      </c>
      <c r="K3" s="3" t="s">
        <v>106</v>
      </c>
      <c r="L3" s="3" t="s">
        <v>107</v>
      </c>
      <c r="M3" s="3" t="s">
        <v>108</v>
      </c>
    </row>
    <row r="4" customFormat="false" ht="23.85" hidden="false" customHeight="false" outlineLevel="0" collapsed="false">
      <c r="A4" s="3" t="s">
        <v>115</v>
      </c>
      <c r="B4" s="3" t="s">
        <v>116</v>
      </c>
      <c r="C4" s="3" t="s">
        <v>117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118</v>
      </c>
      <c r="I4" s="3" t="s">
        <v>119</v>
      </c>
      <c r="J4" s="3" t="s">
        <v>120</v>
      </c>
      <c r="K4" s="3" t="s">
        <v>106</v>
      </c>
      <c r="L4" s="3" t="s">
        <v>107</v>
      </c>
      <c r="M4" s="3" t="s">
        <v>108</v>
      </c>
    </row>
    <row r="5" customFormat="false" ht="15" hidden="false" customHeight="false" outlineLevel="0" collapsed="false">
      <c r="A5" s="3" t="s">
        <v>121</v>
      </c>
      <c r="B5" s="3" t="s">
        <v>122</v>
      </c>
      <c r="C5" s="3" t="s">
        <v>123</v>
      </c>
      <c r="D5" s="3" t="s">
        <v>99</v>
      </c>
      <c r="E5" s="3" t="s">
        <v>100</v>
      </c>
      <c r="F5" s="3" t="s">
        <v>124</v>
      </c>
      <c r="G5" s="3" t="s">
        <v>102</v>
      </c>
      <c r="H5" s="3" t="s">
        <v>125</v>
      </c>
      <c r="I5" s="3" t="s">
        <v>126</v>
      </c>
      <c r="J5" s="3" t="s">
        <v>127</v>
      </c>
      <c r="K5" s="3" t="s">
        <v>106</v>
      </c>
      <c r="L5" s="3" t="s">
        <v>107</v>
      </c>
      <c r="M5" s="3" t="s">
        <v>108</v>
      </c>
    </row>
    <row r="6" customFormat="false" ht="15" hidden="false" customHeight="false" outlineLevel="0" collapsed="false">
      <c r="A6" s="3" t="s">
        <v>128</v>
      </c>
      <c r="B6" s="3" t="s">
        <v>129</v>
      </c>
      <c r="C6" s="3" t="s">
        <v>130</v>
      </c>
      <c r="D6" s="3" t="s">
        <v>131</v>
      </c>
      <c r="E6" s="3" t="s">
        <v>100</v>
      </c>
      <c r="F6" s="3" t="s">
        <v>124</v>
      </c>
      <c r="G6" s="3" t="s">
        <v>102</v>
      </c>
      <c r="H6" s="3" t="s">
        <v>132</v>
      </c>
      <c r="I6" s="3" t="s">
        <v>133</v>
      </c>
      <c r="J6" s="3" t="s">
        <v>134</v>
      </c>
      <c r="K6" s="3" t="s">
        <v>106</v>
      </c>
      <c r="L6" s="3" t="s">
        <v>107</v>
      </c>
      <c r="M6" s="3" t="s">
        <v>108</v>
      </c>
    </row>
    <row r="7" customFormat="false" ht="15" hidden="false" customHeight="false" outlineLevel="0" collapsed="false">
      <c r="A7" s="3" t="s">
        <v>135</v>
      </c>
      <c r="B7" s="3" t="s">
        <v>136</v>
      </c>
      <c r="C7" s="3" t="s">
        <v>137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138</v>
      </c>
      <c r="I7" s="3" t="s">
        <v>139</v>
      </c>
      <c r="J7" s="3" t="s">
        <v>140</v>
      </c>
      <c r="K7" s="3" t="s">
        <v>106</v>
      </c>
      <c r="L7" s="3" t="s">
        <v>141</v>
      </c>
      <c r="M7" s="3" t="s">
        <v>108</v>
      </c>
    </row>
    <row r="8" customFormat="false" ht="15" hidden="false" customHeight="false" outlineLevel="0" collapsed="false">
      <c r="A8" s="3" t="s">
        <v>142</v>
      </c>
      <c r="B8" s="3" t="s">
        <v>143</v>
      </c>
      <c r="C8" s="3" t="s">
        <v>144</v>
      </c>
      <c r="D8" s="3" t="s">
        <v>99</v>
      </c>
      <c r="E8" s="3" t="s">
        <v>100</v>
      </c>
      <c r="F8" s="3" t="s">
        <v>124</v>
      </c>
      <c r="G8" s="3" t="s">
        <v>102</v>
      </c>
      <c r="H8" s="3" t="s">
        <v>145</v>
      </c>
      <c r="I8" s="3" t="s">
        <v>146</v>
      </c>
      <c r="J8" s="3" t="s">
        <v>147</v>
      </c>
      <c r="K8" s="3" t="s">
        <v>106</v>
      </c>
      <c r="L8" s="3" t="s">
        <v>148</v>
      </c>
      <c r="M8" s="3" t="s">
        <v>108</v>
      </c>
    </row>
    <row r="9" customFormat="false" ht="15" hidden="false" customHeight="false" outlineLevel="0" collapsed="false">
      <c r="A9" s="3" t="s">
        <v>149</v>
      </c>
      <c r="B9" s="3" t="s">
        <v>150</v>
      </c>
      <c r="C9" s="3" t="s">
        <v>151</v>
      </c>
      <c r="D9" s="3" t="s">
        <v>99</v>
      </c>
      <c r="E9" s="3" t="s">
        <v>152</v>
      </c>
      <c r="F9" s="3" t="s">
        <v>101</v>
      </c>
      <c r="G9" s="3" t="s">
        <v>102</v>
      </c>
      <c r="H9" s="3" t="s">
        <v>153</v>
      </c>
      <c r="I9" s="3" t="s">
        <v>154</v>
      </c>
      <c r="J9" s="3" t="s">
        <v>155</v>
      </c>
      <c r="K9" s="3" t="s">
        <v>106</v>
      </c>
      <c r="L9" s="3" t="s">
        <v>156</v>
      </c>
      <c r="M9" s="3" t="s">
        <v>108</v>
      </c>
    </row>
    <row r="10" customFormat="false" ht="15" hidden="false" customHeight="false" outlineLevel="0" collapsed="false">
      <c r="A10" s="3" t="s">
        <v>157</v>
      </c>
      <c r="B10" s="3" t="s">
        <v>158</v>
      </c>
      <c r="C10" s="3" t="s">
        <v>159</v>
      </c>
      <c r="D10" s="3" t="s">
        <v>99</v>
      </c>
      <c r="E10" s="3" t="s">
        <v>160</v>
      </c>
      <c r="F10" s="3" t="s">
        <v>101</v>
      </c>
      <c r="G10" s="3" t="s">
        <v>102</v>
      </c>
      <c r="H10" s="3" t="s">
        <v>161</v>
      </c>
      <c r="I10" s="3" t="s">
        <v>162</v>
      </c>
      <c r="J10" s="3" t="s">
        <v>163</v>
      </c>
      <c r="K10" s="3" t="s">
        <v>106</v>
      </c>
      <c r="L10" s="3" t="s">
        <v>164</v>
      </c>
      <c r="M10" s="3" t="s">
        <v>108</v>
      </c>
    </row>
    <row r="11" customFormat="false" ht="15" hidden="false" customHeight="false" outlineLevel="0" collapsed="false">
      <c r="A11" s="3" t="s">
        <v>165</v>
      </c>
      <c r="B11" s="3" t="s">
        <v>166</v>
      </c>
      <c r="C11" s="3" t="s">
        <v>167</v>
      </c>
      <c r="D11" s="3" t="s">
        <v>99</v>
      </c>
      <c r="E11" s="3" t="s">
        <v>168</v>
      </c>
      <c r="F11" s="3" t="s">
        <v>101</v>
      </c>
      <c r="G11" s="3" t="s">
        <v>102</v>
      </c>
      <c r="H11" s="3" t="s">
        <v>169</v>
      </c>
      <c r="I11" s="3" t="s">
        <v>170</v>
      </c>
      <c r="J11" s="3" t="s">
        <v>171</v>
      </c>
      <c r="K11" s="3" t="s">
        <v>106</v>
      </c>
      <c r="L11" s="3" t="s">
        <v>172</v>
      </c>
      <c r="M11" s="3" t="s">
        <v>108</v>
      </c>
    </row>
    <row r="12" customFormat="false" ht="15" hidden="false" customHeight="false" outlineLevel="0" collapsed="false">
      <c r="A12" s="3" t="s">
        <v>173</v>
      </c>
      <c r="B12" s="3" t="s">
        <v>174</v>
      </c>
      <c r="C12" s="3" t="s">
        <v>175</v>
      </c>
      <c r="D12" s="3" t="s">
        <v>99</v>
      </c>
      <c r="E12" s="3" t="s">
        <v>176</v>
      </c>
      <c r="F12" s="3" t="s">
        <v>124</v>
      </c>
      <c r="G12" s="3" t="s">
        <v>102</v>
      </c>
      <c r="H12" s="3" t="s">
        <v>177</v>
      </c>
      <c r="I12" s="3" t="s">
        <v>146</v>
      </c>
      <c r="J12" s="3" t="s">
        <v>114</v>
      </c>
      <c r="K12" s="3" t="s">
        <v>178</v>
      </c>
      <c r="L12" s="3" t="s">
        <v>172</v>
      </c>
      <c r="M12" s="3" t="s">
        <v>108</v>
      </c>
    </row>
    <row r="13" customFormat="false" ht="23.85" hidden="false" customHeight="false" outlineLevel="0" collapsed="false">
      <c r="A13" s="3" t="s">
        <v>179</v>
      </c>
      <c r="B13" s="3" t="s">
        <v>180</v>
      </c>
      <c r="C13" s="3" t="s">
        <v>181</v>
      </c>
      <c r="D13" s="3" t="s">
        <v>182</v>
      </c>
      <c r="E13" s="3" t="s">
        <v>176</v>
      </c>
      <c r="F13" s="3" t="s">
        <v>124</v>
      </c>
      <c r="G13" s="3" t="s">
        <v>102</v>
      </c>
      <c r="H13" s="3" t="s">
        <v>183</v>
      </c>
      <c r="I13" s="3" t="s">
        <v>146</v>
      </c>
      <c r="J13" s="3" t="s">
        <v>114</v>
      </c>
      <c r="K13" s="3" t="s">
        <v>178</v>
      </c>
      <c r="L13" s="3" t="s">
        <v>184</v>
      </c>
      <c r="M13" s="3" t="s">
        <v>108</v>
      </c>
    </row>
    <row r="14" customFormat="false" ht="23.85" hidden="false" customHeight="false" outlineLevel="0" collapsed="false">
      <c r="A14" s="3" t="s">
        <v>185</v>
      </c>
      <c r="B14" s="3" t="s">
        <v>186</v>
      </c>
      <c r="C14" s="3" t="s">
        <v>187</v>
      </c>
      <c r="D14" s="3" t="s">
        <v>99</v>
      </c>
      <c r="E14" s="3" t="s">
        <v>176</v>
      </c>
      <c r="F14" s="3" t="s">
        <v>188</v>
      </c>
      <c r="G14" s="3" t="s">
        <v>178</v>
      </c>
      <c r="H14" s="3" t="s">
        <v>189</v>
      </c>
      <c r="I14" s="3" t="s">
        <v>146</v>
      </c>
      <c r="J14" s="3" t="s">
        <v>114</v>
      </c>
      <c r="K14" s="3" t="s">
        <v>178</v>
      </c>
      <c r="L14" s="3" t="s">
        <v>190</v>
      </c>
      <c r="M14" s="3" t="s">
        <v>108</v>
      </c>
    </row>
    <row r="15" customFormat="false" ht="15" hidden="false" customHeight="false" outlineLevel="0" collapsed="false">
      <c r="A15" s="3" t="s">
        <v>191</v>
      </c>
      <c r="B15" s="3" t="s">
        <v>192</v>
      </c>
      <c r="C15" s="3" t="s">
        <v>193</v>
      </c>
      <c r="D15" s="3" t="s">
        <v>194</v>
      </c>
      <c r="E15" s="3" t="s">
        <v>152</v>
      </c>
      <c r="F15" s="3" t="s">
        <v>101</v>
      </c>
      <c r="G15" s="3" t="s">
        <v>102</v>
      </c>
      <c r="H15" s="3" t="s">
        <v>195</v>
      </c>
      <c r="I15" s="3" t="s">
        <v>196</v>
      </c>
      <c r="J15" s="3" t="s">
        <v>197</v>
      </c>
      <c r="K15" s="3" t="s">
        <v>106</v>
      </c>
      <c r="L15" s="3" t="s">
        <v>156</v>
      </c>
      <c r="M15" s="3" t="s">
        <v>108</v>
      </c>
    </row>
    <row r="16" customFormat="false" ht="15" hidden="false" customHeight="false" outlineLevel="0" collapsed="false">
      <c r="A16" s="3" t="s">
        <v>198</v>
      </c>
      <c r="B16" s="3" t="s">
        <v>199</v>
      </c>
      <c r="C16" s="3" t="s">
        <v>193</v>
      </c>
      <c r="D16" s="3" t="s">
        <v>200</v>
      </c>
      <c r="E16" s="3" t="s">
        <v>152</v>
      </c>
      <c r="F16" s="3" t="s">
        <v>101</v>
      </c>
      <c r="G16" s="3" t="s">
        <v>201</v>
      </c>
      <c r="H16" s="3" t="s">
        <v>202</v>
      </c>
      <c r="I16" s="3" t="s">
        <v>203</v>
      </c>
      <c r="J16" s="3" t="s">
        <v>114</v>
      </c>
      <c r="K16" s="3" t="s">
        <v>204</v>
      </c>
      <c r="L16" s="3" t="s">
        <v>156</v>
      </c>
      <c r="M16" s="3" t="s">
        <v>108</v>
      </c>
    </row>
    <row r="17" customFormat="false" ht="15" hidden="false" customHeight="false" outlineLevel="0" collapsed="false">
      <c r="A17" s="3" t="s">
        <v>205</v>
      </c>
      <c r="B17" s="3" t="s">
        <v>206</v>
      </c>
      <c r="C17" s="3" t="s">
        <v>207</v>
      </c>
      <c r="D17" s="3" t="s">
        <v>208</v>
      </c>
      <c r="E17" s="3" t="s">
        <v>152</v>
      </c>
      <c r="F17" s="3" t="s">
        <v>101</v>
      </c>
      <c r="G17" s="3" t="s">
        <v>102</v>
      </c>
      <c r="H17" s="3" t="s">
        <v>209</v>
      </c>
      <c r="I17" s="3" t="s">
        <v>210</v>
      </c>
      <c r="J17" s="3" t="s">
        <v>211</v>
      </c>
      <c r="K17" s="3" t="s">
        <v>106</v>
      </c>
      <c r="L17" s="3" t="s">
        <v>156</v>
      </c>
      <c r="M17" s="3" t="s">
        <v>108</v>
      </c>
    </row>
    <row r="18" customFormat="false" ht="15" hidden="false" customHeight="false" outlineLevel="0" collapsed="false">
      <c r="A18" s="3" t="s">
        <v>212</v>
      </c>
      <c r="B18" s="3" t="s">
        <v>213</v>
      </c>
      <c r="C18" s="3" t="s">
        <v>214</v>
      </c>
      <c r="D18" s="3" t="s">
        <v>99</v>
      </c>
      <c r="E18" s="3" t="s">
        <v>152</v>
      </c>
      <c r="F18" s="3" t="s">
        <v>101</v>
      </c>
      <c r="G18" s="3" t="s">
        <v>215</v>
      </c>
      <c r="H18" s="3" t="s">
        <v>216</v>
      </c>
      <c r="I18" s="3" t="s">
        <v>217</v>
      </c>
      <c r="J18" s="3" t="s">
        <v>218</v>
      </c>
      <c r="K18" s="3" t="s">
        <v>106</v>
      </c>
      <c r="L18" s="3" t="s">
        <v>156</v>
      </c>
      <c r="M18" s="3" t="s">
        <v>108</v>
      </c>
    </row>
    <row r="19" customFormat="false" ht="23.85" hidden="false" customHeight="false" outlineLevel="0" collapsed="false">
      <c r="A19" s="3" t="s">
        <v>219</v>
      </c>
      <c r="B19" s="3" t="s">
        <v>220</v>
      </c>
      <c r="C19" s="3" t="s">
        <v>221</v>
      </c>
      <c r="D19" s="3" t="s">
        <v>99</v>
      </c>
      <c r="E19" s="3" t="s">
        <v>176</v>
      </c>
      <c r="F19" s="3" t="s">
        <v>124</v>
      </c>
      <c r="G19" s="3" t="s">
        <v>102</v>
      </c>
      <c r="H19" s="3" t="s">
        <v>222</v>
      </c>
      <c r="I19" s="3" t="s">
        <v>146</v>
      </c>
      <c r="J19" s="3" t="s">
        <v>114</v>
      </c>
      <c r="K19" s="3" t="s">
        <v>178</v>
      </c>
      <c r="L19" s="3" t="s">
        <v>223</v>
      </c>
      <c r="M19" s="3" t="s">
        <v>108</v>
      </c>
    </row>
    <row r="20" customFormat="false" ht="15" hidden="false" customHeight="false" outlineLevel="0" collapsed="false">
      <c r="A20" s="3" t="s">
        <v>224</v>
      </c>
      <c r="B20" s="3" t="s">
        <v>225</v>
      </c>
      <c r="C20" s="3" t="s">
        <v>226</v>
      </c>
      <c r="D20" s="3" t="s">
        <v>99</v>
      </c>
      <c r="E20" s="3" t="s">
        <v>176</v>
      </c>
      <c r="F20" s="3" t="s">
        <v>124</v>
      </c>
      <c r="G20" s="3" t="s">
        <v>102</v>
      </c>
      <c r="H20" s="3" t="s">
        <v>227</v>
      </c>
      <c r="I20" s="3" t="s">
        <v>146</v>
      </c>
      <c r="J20" s="3" t="s">
        <v>114</v>
      </c>
      <c r="K20" s="3" t="s">
        <v>178</v>
      </c>
      <c r="L20" s="3" t="s">
        <v>228</v>
      </c>
      <c r="M20" s="3" t="s">
        <v>108</v>
      </c>
    </row>
    <row r="21" customFormat="false" ht="15" hidden="false" customHeight="false" outlineLevel="0" collapsed="false">
      <c r="A21" s="3" t="s">
        <v>229</v>
      </c>
      <c r="B21" s="3" t="s">
        <v>230</v>
      </c>
      <c r="C21" s="3" t="s">
        <v>231</v>
      </c>
      <c r="D21" s="3" t="s">
        <v>99</v>
      </c>
      <c r="E21" s="3" t="s">
        <v>176</v>
      </c>
      <c r="F21" s="3" t="s">
        <v>188</v>
      </c>
      <c r="G21" s="3" t="s">
        <v>178</v>
      </c>
      <c r="H21" s="3" t="s">
        <v>232</v>
      </c>
      <c r="I21" s="3" t="s">
        <v>146</v>
      </c>
      <c r="J21" s="3" t="s">
        <v>114</v>
      </c>
      <c r="K21" s="3" t="s">
        <v>178</v>
      </c>
      <c r="L21" s="3" t="s">
        <v>233</v>
      </c>
      <c r="M21" s="3" t="s">
        <v>108</v>
      </c>
    </row>
    <row r="22" customFormat="false" ht="15" hidden="false" customHeight="false" outlineLevel="0" collapsed="false">
      <c r="A22" s="3" t="s">
        <v>234</v>
      </c>
      <c r="B22" s="3" t="s">
        <v>235</v>
      </c>
      <c r="C22" s="3" t="s">
        <v>236</v>
      </c>
      <c r="D22" s="3" t="s">
        <v>99</v>
      </c>
      <c r="E22" s="3" t="s">
        <v>176</v>
      </c>
      <c r="F22" s="3" t="s">
        <v>124</v>
      </c>
      <c r="G22" s="3" t="s">
        <v>102</v>
      </c>
      <c r="H22" s="3" t="s">
        <v>237</v>
      </c>
      <c r="I22" s="3" t="s">
        <v>146</v>
      </c>
      <c r="J22" s="3" t="s">
        <v>114</v>
      </c>
      <c r="K22" s="3" t="s">
        <v>178</v>
      </c>
      <c r="L22" s="3" t="s">
        <v>238</v>
      </c>
      <c r="M22" s="3" t="s">
        <v>108</v>
      </c>
    </row>
    <row r="23" customFormat="false" ht="15" hidden="false" customHeight="false" outlineLevel="0" collapsed="false">
      <c r="A23" s="3" t="s">
        <v>239</v>
      </c>
      <c r="B23" s="3" t="s">
        <v>240</v>
      </c>
      <c r="C23" s="3" t="s">
        <v>241</v>
      </c>
      <c r="D23" s="3" t="s">
        <v>99</v>
      </c>
      <c r="E23" s="3" t="s">
        <v>176</v>
      </c>
      <c r="F23" s="3" t="s">
        <v>188</v>
      </c>
      <c r="G23" s="3" t="s">
        <v>178</v>
      </c>
      <c r="H23" s="3" t="s">
        <v>242</v>
      </c>
      <c r="I23" s="3" t="s">
        <v>146</v>
      </c>
      <c r="J23" s="3" t="s">
        <v>114</v>
      </c>
      <c r="K23" s="3" t="s">
        <v>178</v>
      </c>
      <c r="L23" s="3" t="s">
        <v>243</v>
      </c>
      <c r="M23" s="3" t="s">
        <v>108</v>
      </c>
    </row>
    <row r="24" customFormat="false" ht="23.85" hidden="false" customHeight="false" outlineLevel="0" collapsed="false">
      <c r="A24" s="3" t="s">
        <v>244</v>
      </c>
      <c r="B24" s="3" t="s">
        <v>245</v>
      </c>
      <c r="C24" s="3" t="s">
        <v>246</v>
      </c>
      <c r="D24" s="3" t="s">
        <v>99</v>
      </c>
      <c r="E24" s="3" t="s">
        <v>176</v>
      </c>
      <c r="F24" s="3" t="s">
        <v>188</v>
      </c>
      <c r="G24" s="3" t="s">
        <v>178</v>
      </c>
      <c r="H24" s="3" t="s">
        <v>247</v>
      </c>
      <c r="I24" s="3" t="s">
        <v>146</v>
      </c>
      <c r="J24" s="3" t="s">
        <v>114</v>
      </c>
      <c r="K24" s="3" t="s">
        <v>178</v>
      </c>
      <c r="L24" s="3" t="s">
        <v>248</v>
      </c>
      <c r="M24" s="3" t="s">
        <v>108</v>
      </c>
    </row>
    <row r="25" customFormat="false" ht="23.85" hidden="false" customHeight="false" outlineLevel="0" collapsed="false">
      <c r="A25" s="3" t="s">
        <v>249</v>
      </c>
      <c r="B25" s="3" t="s">
        <v>250</v>
      </c>
      <c r="C25" s="3" t="s">
        <v>246</v>
      </c>
      <c r="D25" s="3" t="s">
        <v>99</v>
      </c>
      <c r="E25" s="3" t="s">
        <v>176</v>
      </c>
      <c r="F25" s="3" t="s">
        <v>188</v>
      </c>
      <c r="G25" s="3" t="s">
        <v>178</v>
      </c>
      <c r="H25" s="3" t="s">
        <v>251</v>
      </c>
      <c r="I25" s="3" t="s">
        <v>146</v>
      </c>
      <c r="J25" s="3" t="s">
        <v>114</v>
      </c>
      <c r="K25" s="3" t="s">
        <v>178</v>
      </c>
      <c r="L25" s="3" t="s">
        <v>248</v>
      </c>
      <c r="M25" s="3" t="s">
        <v>108</v>
      </c>
    </row>
    <row r="26" customFormat="false" ht="23.85" hidden="false" customHeight="false" outlineLevel="0" collapsed="false">
      <c r="A26" s="3" t="s">
        <v>252</v>
      </c>
      <c r="B26" s="3" t="s">
        <v>253</v>
      </c>
      <c r="C26" s="3" t="s">
        <v>246</v>
      </c>
      <c r="D26" s="3" t="s">
        <v>99</v>
      </c>
      <c r="E26" s="3" t="s">
        <v>176</v>
      </c>
      <c r="F26" s="3" t="s">
        <v>188</v>
      </c>
      <c r="G26" s="3" t="s">
        <v>178</v>
      </c>
      <c r="H26" s="3" t="s">
        <v>254</v>
      </c>
      <c r="I26" s="3" t="s">
        <v>146</v>
      </c>
      <c r="J26" s="3" t="s">
        <v>114</v>
      </c>
      <c r="K26" s="3" t="s">
        <v>178</v>
      </c>
      <c r="L26" s="3" t="s">
        <v>248</v>
      </c>
      <c r="M26" s="3" t="s">
        <v>108</v>
      </c>
    </row>
    <row r="27" customFormat="false" ht="23.85" hidden="false" customHeight="false" outlineLevel="0" collapsed="false">
      <c r="A27" s="3" t="s">
        <v>255</v>
      </c>
      <c r="B27" s="3" t="s">
        <v>256</v>
      </c>
      <c r="C27" s="3" t="s">
        <v>257</v>
      </c>
      <c r="D27" s="3" t="s">
        <v>99</v>
      </c>
      <c r="E27" s="3" t="s">
        <v>176</v>
      </c>
      <c r="F27" s="3" t="s">
        <v>188</v>
      </c>
      <c r="G27" s="3" t="s">
        <v>178</v>
      </c>
      <c r="H27" s="3" t="s">
        <v>258</v>
      </c>
      <c r="I27" s="3" t="s">
        <v>146</v>
      </c>
      <c r="J27" s="3" t="s">
        <v>114</v>
      </c>
      <c r="K27" s="3" t="s">
        <v>178</v>
      </c>
      <c r="L27" s="3" t="s">
        <v>259</v>
      </c>
      <c r="M27" s="3" t="s">
        <v>108</v>
      </c>
    </row>
    <row r="28" customFormat="false" ht="23.85" hidden="false" customHeight="false" outlineLevel="0" collapsed="false">
      <c r="A28" s="3" t="s">
        <v>260</v>
      </c>
      <c r="B28" s="3" t="s">
        <v>261</v>
      </c>
      <c r="C28" s="3" t="s">
        <v>257</v>
      </c>
      <c r="D28" s="3" t="s">
        <v>99</v>
      </c>
      <c r="E28" s="3" t="s">
        <v>176</v>
      </c>
      <c r="F28" s="3" t="s">
        <v>188</v>
      </c>
      <c r="G28" s="3" t="s">
        <v>178</v>
      </c>
      <c r="H28" s="3" t="s">
        <v>262</v>
      </c>
      <c r="I28" s="3" t="s">
        <v>146</v>
      </c>
      <c r="J28" s="3" t="s">
        <v>114</v>
      </c>
      <c r="K28" s="3" t="s">
        <v>178</v>
      </c>
      <c r="L28" s="3" t="s">
        <v>259</v>
      </c>
      <c r="M28" s="3" t="s">
        <v>108</v>
      </c>
    </row>
    <row r="29" customFormat="false" ht="23.85" hidden="false" customHeight="false" outlineLevel="0" collapsed="false">
      <c r="A29" s="3" t="s">
        <v>263</v>
      </c>
      <c r="B29" s="3" t="s">
        <v>264</v>
      </c>
      <c r="C29" s="3" t="s">
        <v>265</v>
      </c>
      <c r="D29" s="3" t="s">
        <v>99</v>
      </c>
      <c r="E29" s="3" t="s">
        <v>176</v>
      </c>
      <c r="F29" s="3" t="s">
        <v>188</v>
      </c>
      <c r="G29" s="3" t="s">
        <v>178</v>
      </c>
      <c r="H29" s="3" t="s">
        <v>266</v>
      </c>
      <c r="I29" s="3" t="s">
        <v>146</v>
      </c>
      <c r="J29" s="3" t="s">
        <v>114</v>
      </c>
      <c r="K29" s="3" t="s">
        <v>178</v>
      </c>
      <c r="L29" s="3" t="s">
        <v>248</v>
      </c>
      <c r="M29" s="3" t="s">
        <v>108</v>
      </c>
    </row>
    <row r="30" customFormat="false" ht="23.85" hidden="false" customHeight="false" outlineLevel="0" collapsed="false">
      <c r="A30" s="3" t="s">
        <v>267</v>
      </c>
      <c r="B30" s="3" t="s">
        <v>268</v>
      </c>
      <c r="C30" s="3" t="s">
        <v>246</v>
      </c>
      <c r="D30" s="3" t="s">
        <v>99</v>
      </c>
      <c r="E30" s="3" t="s">
        <v>176</v>
      </c>
      <c r="F30" s="3" t="s">
        <v>188</v>
      </c>
      <c r="G30" s="3" t="s">
        <v>178</v>
      </c>
      <c r="H30" s="3" t="s">
        <v>269</v>
      </c>
      <c r="I30" s="3" t="s">
        <v>146</v>
      </c>
      <c r="J30" s="3" t="s">
        <v>114</v>
      </c>
      <c r="K30" s="3" t="s">
        <v>178</v>
      </c>
      <c r="L30" s="3" t="s">
        <v>248</v>
      </c>
      <c r="M30" s="3" t="s">
        <v>108</v>
      </c>
    </row>
    <row r="31" customFormat="false" ht="15" hidden="false" customHeight="false" outlineLevel="0" collapsed="false">
      <c r="A31" s="3" t="s">
        <v>270</v>
      </c>
      <c r="B31" s="3" t="s">
        <v>271</v>
      </c>
      <c r="C31" s="3" t="s">
        <v>272</v>
      </c>
      <c r="D31" s="3" t="s">
        <v>99</v>
      </c>
      <c r="E31" s="3" t="s">
        <v>176</v>
      </c>
      <c r="F31" s="3" t="s">
        <v>188</v>
      </c>
      <c r="G31" s="3" t="s">
        <v>178</v>
      </c>
      <c r="H31" s="3" t="s">
        <v>273</v>
      </c>
      <c r="I31" s="3" t="s">
        <v>146</v>
      </c>
      <c r="J31" s="3" t="s">
        <v>114</v>
      </c>
      <c r="K31" s="3" t="s">
        <v>178</v>
      </c>
      <c r="L31" s="3" t="s">
        <v>233</v>
      </c>
      <c r="M31" s="3" t="s">
        <v>108</v>
      </c>
    </row>
    <row r="32" customFormat="false" ht="23.85" hidden="false" customHeight="false" outlineLevel="0" collapsed="false">
      <c r="A32" s="3" t="s">
        <v>274</v>
      </c>
      <c r="B32" s="3" t="s">
        <v>275</v>
      </c>
      <c r="C32" s="3" t="s">
        <v>276</v>
      </c>
      <c r="D32" s="3" t="s">
        <v>99</v>
      </c>
      <c r="E32" s="3" t="s">
        <v>176</v>
      </c>
      <c r="F32" s="3" t="s">
        <v>124</v>
      </c>
      <c r="G32" s="3" t="s">
        <v>102</v>
      </c>
      <c r="H32" s="3" t="s">
        <v>277</v>
      </c>
      <c r="I32" s="3" t="s">
        <v>146</v>
      </c>
      <c r="J32" s="3" t="s">
        <v>114</v>
      </c>
      <c r="K32" s="3" t="s">
        <v>178</v>
      </c>
      <c r="L32" s="3" t="s">
        <v>223</v>
      </c>
      <c r="M32" s="3" t="s">
        <v>108</v>
      </c>
    </row>
    <row r="33" customFormat="false" ht="15" hidden="false" customHeight="false" outlineLevel="0" collapsed="false">
      <c r="A33" s="3" t="s">
        <v>278</v>
      </c>
      <c r="B33" s="3" t="s">
        <v>279</v>
      </c>
      <c r="C33" s="3" t="s">
        <v>280</v>
      </c>
      <c r="D33" s="3" t="s">
        <v>99</v>
      </c>
      <c r="E33" s="3" t="s">
        <v>176</v>
      </c>
      <c r="F33" s="3" t="s">
        <v>188</v>
      </c>
      <c r="G33" s="3" t="s">
        <v>178</v>
      </c>
      <c r="H33" s="3" t="s">
        <v>281</v>
      </c>
      <c r="I33" s="3" t="s">
        <v>146</v>
      </c>
      <c r="J33" s="3" t="s">
        <v>114</v>
      </c>
      <c r="K33" s="3" t="s">
        <v>178</v>
      </c>
      <c r="L33" s="3" t="s">
        <v>156</v>
      </c>
      <c r="M33" s="3" t="s">
        <v>282</v>
      </c>
    </row>
    <row r="34" customFormat="false" ht="15" hidden="false" customHeight="false" outlineLevel="0" collapsed="false">
      <c r="A34" s="3" t="s">
        <v>283</v>
      </c>
      <c r="B34" s="3" t="s">
        <v>284</v>
      </c>
      <c r="C34" s="3" t="s">
        <v>285</v>
      </c>
      <c r="D34" s="3" t="s">
        <v>99</v>
      </c>
      <c r="E34" s="3" t="s">
        <v>100</v>
      </c>
      <c r="F34" s="3" t="s">
        <v>124</v>
      </c>
      <c r="G34" s="3" t="s">
        <v>102</v>
      </c>
      <c r="H34" s="3" t="s">
        <v>286</v>
      </c>
      <c r="I34" s="3" t="s">
        <v>146</v>
      </c>
      <c r="J34" s="3" t="s">
        <v>287</v>
      </c>
      <c r="K34" s="3" t="s">
        <v>178</v>
      </c>
      <c r="L34" s="3" t="s">
        <v>141</v>
      </c>
      <c r="M34" s="3" t="s">
        <v>108</v>
      </c>
    </row>
    <row r="35" customFormat="false" ht="15" hidden="false" customHeight="false" outlineLevel="0" collapsed="false">
      <c r="A35" s="3" t="s">
        <v>288</v>
      </c>
      <c r="B35" s="3" t="s">
        <v>289</v>
      </c>
      <c r="C35" s="3" t="s">
        <v>290</v>
      </c>
      <c r="D35" s="3" t="s">
        <v>291</v>
      </c>
      <c r="E35" s="3" t="s">
        <v>100</v>
      </c>
      <c r="F35" s="3" t="s">
        <v>188</v>
      </c>
      <c r="G35" s="3" t="s">
        <v>102</v>
      </c>
      <c r="H35" s="3" t="s">
        <v>292</v>
      </c>
      <c r="I35" s="3" t="s">
        <v>146</v>
      </c>
      <c r="J35" s="3" t="s">
        <v>114</v>
      </c>
      <c r="K35" s="3" t="s">
        <v>178</v>
      </c>
      <c r="L35" s="3" t="s">
        <v>107</v>
      </c>
      <c r="M35" s="3" t="s">
        <v>108</v>
      </c>
    </row>
    <row r="36" customFormat="false" ht="15" hidden="false" customHeight="false" outlineLevel="0" collapsed="false">
      <c r="A36" s="3" t="s">
        <v>293</v>
      </c>
      <c r="B36" s="3" t="s">
        <v>294</v>
      </c>
      <c r="C36" s="3" t="s">
        <v>295</v>
      </c>
      <c r="D36" s="3" t="s">
        <v>99</v>
      </c>
      <c r="E36" s="3" t="s">
        <v>100</v>
      </c>
      <c r="F36" s="3" t="s">
        <v>124</v>
      </c>
      <c r="G36" s="3" t="s">
        <v>102</v>
      </c>
      <c r="H36" s="3" t="s">
        <v>296</v>
      </c>
      <c r="I36" s="3" t="s">
        <v>297</v>
      </c>
      <c r="J36" s="3" t="s">
        <v>298</v>
      </c>
      <c r="K36" s="3" t="s">
        <v>106</v>
      </c>
      <c r="L36" s="3" t="s">
        <v>107</v>
      </c>
      <c r="M36" s="3" t="s">
        <v>108</v>
      </c>
    </row>
    <row r="37" customFormat="false" ht="15" hidden="false" customHeight="false" outlineLevel="0" collapsed="false">
      <c r="A37" s="3" t="s">
        <v>299</v>
      </c>
      <c r="B37" s="3" t="s">
        <v>300</v>
      </c>
      <c r="C37" s="3" t="s">
        <v>167</v>
      </c>
      <c r="D37" s="3" t="s">
        <v>99</v>
      </c>
      <c r="E37" s="3" t="s">
        <v>168</v>
      </c>
      <c r="F37" s="3" t="s">
        <v>101</v>
      </c>
      <c r="G37" s="3" t="s">
        <v>201</v>
      </c>
      <c r="H37" s="3" t="s">
        <v>301</v>
      </c>
      <c r="I37" s="3" t="s">
        <v>146</v>
      </c>
      <c r="J37" s="3" t="s">
        <v>114</v>
      </c>
      <c r="K37" s="3" t="s">
        <v>204</v>
      </c>
      <c r="L37" s="3" t="s">
        <v>172</v>
      </c>
      <c r="M37" s="3" t="s">
        <v>108</v>
      </c>
    </row>
    <row r="38" customFormat="false" ht="15" hidden="false" customHeight="false" outlineLevel="0" collapsed="false">
      <c r="A38" s="3" t="s">
        <v>302</v>
      </c>
      <c r="B38" s="3" t="s">
        <v>303</v>
      </c>
      <c r="C38" s="3" t="s">
        <v>304</v>
      </c>
      <c r="D38" s="3" t="s">
        <v>99</v>
      </c>
      <c r="E38" s="3" t="s">
        <v>176</v>
      </c>
      <c r="F38" s="3" t="s">
        <v>124</v>
      </c>
      <c r="G38" s="3" t="s">
        <v>102</v>
      </c>
      <c r="H38" s="3" t="s">
        <v>305</v>
      </c>
      <c r="I38" s="3" t="s">
        <v>146</v>
      </c>
      <c r="J38" s="3" t="s">
        <v>114</v>
      </c>
      <c r="K38" s="3" t="s">
        <v>178</v>
      </c>
      <c r="L38" s="3" t="s">
        <v>190</v>
      </c>
      <c r="M38" s="3" t="s">
        <v>282</v>
      </c>
    </row>
    <row r="39" customFormat="false" ht="23.85" hidden="false" customHeight="false" outlineLevel="0" collapsed="false">
      <c r="A39" s="3" t="s">
        <v>306</v>
      </c>
      <c r="B39" s="3" t="s">
        <v>307</v>
      </c>
      <c r="C39" s="3" t="s">
        <v>159</v>
      </c>
      <c r="D39" s="3" t="s">
        <v>131</v>
      </c>
      <c r="E39" s="3" t="s">
        <v>160</v>
      </c>
      <c r="F39" s="3" t="s">
        <v>101</v>
      </c>
      <c r="G39" s="3" t="s">
        <v>102</v>
      </c>
      <c r="H39" s="3" t="s">
        <v>308</v>
      </c>
      <c r="I39" s="3" t="s">
        <v>309</v>
      </c>
      <c r="J39" s="3" t="s">
        <v>310</v>
      </c>
      <c r="K39" s="3" t="s">
        <v>106</v>
      </c>
      <c r="L39" s="3" t="s">
        <v>164</v>
      </c>
      <c r="M39" s="3" t="s">
        <v>108</v>
      </c>
    </row>
    <row r="40" customFormat="false" ht="15" hidden="false" customHeight="false" outlineLevel="0" collapsed="false">
      <c r="A40" s="3" t="s">
        <v>311</v>
      </c>
      <c r="B40" s="3" t="s">
        <v>312</v>
      </c>
      <c r="C40" s="3" t="s">
        <v>144</v>
      </c>
      <c r="D40" s="3" t="s">
        <v>99</v>
      </c>
      <c r="E40" s="3" t="s">
        <v>100</v>
      </c>
      <c r="F40" s="3" t="s">
        <v>124</v>
      </c>
      <c r="G40" s="3" t="s">
        <v>102</v>
      </c>
      <c r="H40" s="3" t="s">
        <v>313</v>
      </c>
      <c r="I40" s="3" t="s">
        <v>146</v>
      </c>
      <c r="J40" s="3" t="s">
        <v>314</v>
      </c>
      <c r="K40" s="3" t="s">
        <v>106</v>
      </c>
      <c r="L40" s="3" t="s">
        <v>148</v>
      </c>
      <c r="M40" s="3" t="s">
        <v>108</v>
      </c>
    </row>
    <row r="41" customFormat="false" ht="23.85" hidden="false" customHeight="false" outlineLevel="0" collapsed="false">
      <c r="A41" s="3" t="s">
        <v>315</v>
      </c>
      <c r="B41" s="3" t="s">
        <v>316</v>
      </c>
      <c r="C41" s="3" t="s">
        <v>317</v>
      </c>
      <c r="D41" s="3" t="s">
        <v>99</v>
      </c>
      <c r="E41" s="3" t="s">
        <v>100</v>
      </c>
      <c r="F41" s="3" t="s">
        <v>124</v>
      </c>
      <c r="G41" s="3" t="s">
        <v>102</v>
      </c>
      <c r="H41" s="3" t="s">
        <v>318</v>
      </c>
      <c r="I41" s="3" t="s">
        <v>146</v>
      </c>
      <c r="J41" s="3" t="s">
        <v>319</v>
      </c>
      <c r="K41" s="3" t="s">
        <v>106</v>
      </c>
      <c r="L41" s="3" t="s">
        <v>107</v>
      </c>
      <c r="M41" s="3" t="s">
        <v>108</v>
      </c>
    </row>
    <row r="42" customFormat="false" ht="23.85" hidden="false" customHeight="false" outlineLevel="0" collapsed="false">
      <c r="A42" s="3" t="s">
        <v>320</v>
      </c>
      <c r="B42" s="3" t="s">
        <v>321</v>
      </c>
      <c r="C42" s="3" t="s">
        <v>322</v>
      </c>
      <c r="D42" s="3" t="s">
        <v>99</v>
      </c>
      <c r="E42" s="3" t="s">
        <v>100</v>
      </c>
      <c r="F42" s="3" t="s">
        <v>101</v>
      </c>
      <c r="G42" s="3" t="s">
        <v>201</v>
      </c>
      <c r="H42" s="3" t="s">
        <v>323</v>
      </c>
      <c r="I42" s="3" t="s">
        <v>146</v>
      </c>
      <c r="J42" s="3" t="s">
        <v>114</v>
      </c>
      <c r="K42" s="3" t="s">
        <v>204</v>
      </c>
      <c r="L42" s="3" t="s">
        <v>107</v>
      </c>
      <c r="M42" s="3" t="s">
        <v>108</v>
      </c>
    </row>
    <row r="43" customFormat="false" ht="15" hidden="false" customHeight="false" outlineLevel="0" collapsed="false">
      <c r="A43" s="3" t="s">
        <v>324</v>
      </c>
      <c r="B43" s="3" t="s">
        <v>325</v>
      </c>
      <c r="C43" s="3" t="s">
        <v>326</v>
      </c>
      <c r="D43" s="3" t="s">
        <v>99</v>
      </c>
      <c r="E43" s="3" t="s">
        <v>168</v>
      </c>
      <c r="F43" s="3" t="s">
        <v>124</v>
      </c>
      <c r="G43" s="3" t="s">
        <v>102</v>
      </c>
      <c r="H43" s="3" t="s">
        <v>327</v>
      </c>
      <c r="I43" s="3" t="s">
        <v>328</v>
      </c>
      <c r="J43" s="3" t="s">
        <v>329</v>
      </c>
      <c r="K43" s="3" t="s">
        <v>106</v>
      </c>
      <c r="L43" s="3" t="s">
        <v>238</v>
      </c>
      <c r="M43" s="3" t="s">
        <v>108</v>
      </c>
    </row>
    <row r="44" customFormat="false" ht="23.85" hidden="false" customHeight="false" outlineLevel="0" collapsed="false">
      <c r="A44" s="3" t="s">
        <v>330</v>
      </c>
      <c r="B44" s="3" t="s">
        <v>331</v>
      </c>
      <c r="C44" s="3" t="s">
        <v>332</v>
      </c>
      <c r="D44" s="3" t="s">
        <v>99</v>
      </c>
      <c r="E44" s="3" t="s">
        <v>100</v>
      </c>
      <c r="F44" s="3" t="s">
        <v>124</v>
      </c>
      <c r="G44" s="3" t="s">
        <v>102</v>
      </c>
      <c r="H44" s="3" t="s">
        <v>333</v>
      </c>
      <c r="I44" s="3" t="s">
        <v>146</v>
      </c>
      <c r="J44" s="3" t="s">
        <v>334</v>
      </c>
      <c r="K44" s="3" t="s">
        <v>106</v>
      </c>
      <c r="L44" s="3" t="s">
        <v>148</v>
      </c>
      <c r="M44" s="3" t="s">
        <v>108</v>
      </c>
    </row>
    <row r="45" customFormat="false" ht="23.85" hidden="false" customHeight="false" outlineLevel="0" collapsed="false">
      <c r="A45" s="3" t="s">
        <v>335</v>
      </c>
      <c r="B45" s="3" t="s">
        <v>336</v>
      </c>
      <c r="C45" s="3" t="s">
        <v>246</v>
      </c>
      <c r="D45" s="3" t="s">
        <v>99</v>
      </c>
      <c r="E45" s="3" t="s">
        <v>176</v>
      </c>
      <c r="F45" s="3" t="s">
        <v>188</v>
      </c>
      <c r="G45" s="3" t="s">
        <v>178</v>
      </c>
      <c r="H45" s="3" t="s">
        <v>337</v>
      </c>
      <c r="I45" s="3" t="s">
        <v>146</v>
      </c>
      <c r="J45" s="3" t="s">
        <v>114</v>
      </c>
      <c r="K45" s="3" t="s">
        <v>178</v>
      </c>
      <c r="L45" s="3" t="s">
        <v>156</v>
      </c>
      <c r="M45" s="3" t="s">
        <v>282</v>
      </c>
    </row>
  </sheetData>
  <autoFilter ref="A1:M4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25"/>
  </cols>
  <sheetData>
    <row r="1" customFormat="false" ht="26.85" hidden="false" customHeight="false" outlineLevel="0" collapsed="false">
      <c r="A1" s="1" t="s">
        <v>79</v>
      </c>
      <c r="B1" s="1" t="s">
        <v>43</v>
      </c>
      <c r="C1" s="1" t="s">
        <v>51</v>
      </c>
      <c r="D1" s="1" t="s">
        <v>57</v>
      </c>
      <c r="E1" s="1" t="s">
        <v>83</v>
      </c>
      <c r="F1" s="1" t="s">
        <v>85</v>
      </c>
      <c r="G1" s="1" t="s">
        <v>87</v>
      </c>
      <c r="H1" s="1" t="s">
        <v>89</v>
      </c>
      <c r="I1" s="1" t="s">
        <v>90</v>
      </c>
      <c r="J1" s="1" t="s">
        <v>46</v>
      </c>
      <c r="K1" s="1" t="s">
        <v>93</v>
      </c>
      <c r="L1" s="1" t="s">
        <v>95</v>
      </c>
    </row>
    <row r="2" customFormat="false" ht="15" hidden="false" customHeight="false" outlineLevel="0" collapsed="false">
      <c r="A2" s="3" t="s">
        <v>338</v>
      </c>
      <c r="B2" s="0" t="n">
        <v>58400000</v>
      </c>
      <c r="C2" s="3" t="s">
        <v>96</v>
      </c>
      <c r="D2" s="3" t="s">
        <v>98</v>
      </c>
      <c r="E2" s="3" t="s">
        <v>339</v>
      </c>
      <c r="F2" s="3" t="s">
        <v>340</v>
      </c>
      <c r="G2" s="3"/>
      <c r="H2" s="3" t="s">
        <v>341</v>
      </c>
      <c r="I2" s="3" t="s">
        <v>342</v>
      </c>
      <c r="J2" s="0" t="n">
        <v>18900000</v>
      </c>
      <c r="K2" s="3" t="s">
        <v>343</v>
      </c>
      <c r="L2" s="3" t="s">
        <v>344</v>
      </c>
    </row>
    <row r="3" customFormat="false" ht="15" hidden="false" customHeight="false" outlineLevel="0" collapsed="false">
      <c r="A3" s="3" t="s">
        <v>345</v>
      </c>
      <c r="B3" s="0" t="n">
        <v>1180000</v>
      </c>
      <c r="C3" s="3" t="s">
        <v>96</v>
      </c>
      <c r="D3" s="3" t="s">
        <v>98</v>
      </c>
      <c r="E3" s="3" t="s">
        <v>339</v>
      </c>
      <c r="F3" s="3" t="s">
        <v>346</v>
      </c>
      <c r="G3" s="3" t="s">
        <v>338</v>
      </c>
      <c r="H3" s="3" t="s">
        <v>347</v>
      </c>
      <c r="I3" s="3" t="s">
        <v>342</v>
      </c>
      <c r="J3" s="0" t="n">
        <v>0</v>
      </c>
      <c r="K3" s="3" t="s">
        <v>343</v>
      </c>
      <c r="L3" s="3" t="s">
        <v>348</v>
      </c>
    </row>
    <row r="4" customFormat="false" ht="15" hidden="false" customHeight="false" outlineLevel="0" collapsed="false">
      <c r="A4" s="3" t="s">
        <v>349</v>
      </c>
      <c r="B4" s="0" t="n">
        <v>2640000</v>
      </c>
      <c r="C4" s="3" t="s">
        <v>96</v>
      </c>
      <c r="D4" s="3" t="s">
        <v>98</v>
      </c>
      <c r="E4" s="3" t="s">
        <v>339</v>
      </c>
      <c r="F4" s="3" t="s">
        <v>346</v>
      </c>
      <c r="G4" s="3" t="s">
        <v>338</v>
      </c>
      <c r="H4" s="3" t="s">
        <v>350</v>
      </c>
      <c r="I4" s="3" t="s">
        <v>342</v>
      </c>
      <c r="J4" s="0" t="n">
        <v>650000</v>
      </c>
      <c r="K4" s="3" t="s">
        <v>343</v>
      </c>
      <c r="L4" s="3" t="s">
        <v>348</v>
      </c>
    </row>
    <row r="5" customFormat="false" ht="15" hidden="false" customHeight="false" outlineLevel="0" collapsed="false">
      <c r="A5" s="3" t="s">
        <v>351</v>
      </c>
      <c r="B5" s="0" t="n">
        <v>910000</v>
      </c>
      <c r="C5" s="3" t="s">
        <v>96</v>
      </c>
      <c r="D5" s="3" t="s">
        <v>98</v>
      </c>
      <c r="E5" s="3" t="s">
        <v>339</v>
      </c>
      <c r="F5" s="3" t="s">
        <v>346</v>
      </c>
      <c r="G5" s="3" t="s">
        <v>338</v>
      </c>
      <c r="H5" s="3" t="s">
        <v>352</v>
      </c>
      <c r="I5" s="3" t="s">
        <v>342</v>
      </c>
      <c r="J5" s="0" t="n">
        <v>0</v>
      </c>
      <c r="K5" s="3" t="s">
        <v>343</v>
      </c>
      <c r="L5" s="3" t="s">
        <v>353</v>
      </c>
    </row>
    <row r="6" customFormat="false" ht="15" hidden="false" customHeight="false" outlineLevel="0" collapsed="false">
      <c r="A6" s="3" t="s">
        <v>354</v>
      </c>
      <c r="B6" s="0" t="n">
        <v>3720000</v>
      </c>
      <c r="C6" s="3" t="s">
        <v>96</v>
      </c>
      <c r="D6" s="3" t="s">
        <v>98</v>
      </c>
      <c r="E6" s="3" t="s">
        <v>339</v>
      </c>
      <c r="F6" s="3" t="s">
        <v>346</v>
      </c>
      <c r="G6" s="3" t="s">
        <v>338</v>
      </c>
      <c r="H6" s="3" t="s">
        <v>355</v>
      </c>
      <c r="I6" s="3" t="s">
        <v>356</v>
      </c>
      <c r="J6" s="0" t="n">
        <v>2380000</v>
      </c>
      <c r="K6" s="3" t="s">
        <v>357</v>
      </c>
      <c r="L6" s="3" t="s">
        <v>344</v>
      </c>
    </row>
    <row r="7" customFormat="false" ht="15" hidden="false" customHeight="false" outlineLevel="0" collapsed="false">
      <c r="A7" s="3" t="s">
        <v>358</v>
      </c>
      <c r="B7" s="0" t="n">
        <v>0</v>
      </c>
      <c r="C7" s="3" t="s">
        <v>96</v>
      </c>
      <c r="D7" s="3" t="s">
        <v>98</v>
      </c>
      <c r="E7" s="3" t="s">
        <v>339</v>
      </c>
      <c r="F7" s="3" t="s">
        <v>359</v>
      </c>
      <c r="G7" s="3" t="s">
        <v>338</v>
      </c>
      <c r="H7" s="3" t="s">
        <v>360</v>
      </c>
      <c r="I7" s="3" t="s">
        <v>361</v>
      </c>
      <c r="J7" s="0" t="n">
        <v>11200000</v>
      </c>
      <c r="K7" s="3" t="s">
        <v>343</v>
      </c>
      <c r="L7" s="3" t="s">
        <v>344</v>
      </c>
    </row>
    <row r="8" customFormat="false" ht="15" hidden="false" customHeight="false" outlineLevel="0" collapsed="false">
      <c r="A8" s="3" t="s">
        <v>362</v>
      </c>
      <c r="B8" s="0" t="n">
        <v>9640000</v>
      </c>
      <c r="C8" s="3" t="s">
        <v>96</v>
      </c>
      <c r="D8" s="3" t="s">
        <v>98</v>
      </c>
      <c r="E8" s="3" t="s">
        <v>363</v>
      </c>
      <c r="F8" s="3" t="s">
        <v>340</v>
      </c>
      <c r="G8" s="3"/>
      <c r="H8" s="3" t="s">
        <v>364</v>
      </c>
      <c r="I8" s="3" t="s">
        <v>365</v>
      </c>
      <c r="J8" s="0" t="n">
        <v>3120000</v>
      </c>
      <c r="K8" s="3" t="s">
        <v>343</v>
      </c>
      <c r="L8" s="3" t="s">
        <v>344</v>
      </c>
    </row>
    <row r="9" customFormat="false" ht="15" hidden="false" customHeight="false" outlineLevel="0" collapsed="false">
      <c r="A9" s="3" t="s">
        <v>366</v>
      </c>
      <c r="B9" s="0" t="n">
        <v>7860000</v>
      </c>
      <c r="C9" s="3" t="s">
        <v>109</v>
      </c>
      <c r="D9" s="3" t="s">
        <v>98</v>
      </c>
      <c r="E9" s="3" t="s">
        <v>367</v>
      </c>
      <c r="F9" s="3" t="s">
        <v>340</v>
      </c>
      <c r="G9" s="3"/>
      <c r="H9" s="3" t="s">
        <v>368</v>
      </c>
      <c r="I9" s="3" t="s">
        <v>369</v>
      </c>
      <c r="J9" s="0" t="n">
        <v>2410000</v>
      </c>
      <c r="K9" s="3" t="s">
        <v>111</v>
      </c>
      <c r="L9" s="3" t="s">
        <v>344</v>
      </c>
    </row>
    <row r="10" customFormat="false" ht="15" hidden="false" customHeight="false" outlineLevel="0" collapsed="false">
      <c r="A10" s="3" t="s">
        <v>370</v>
      </c>
      <c r="B10" s="0" t="n">
        <v>420000</v>
      </c>
      <c r="C10" s="3" t="s">
        <v>109</v>
      </c>
      <c r="D10" s="3" t="s">
        <v>98</v>
      </c>
      <c r="E10" s="3" t="s">
        <v>367</v>
      </c>
      <c r="F10" s="3" t="s">
        <v>346</v>
      </c>
      <c r="G10" s="3" t="s">
        <v>366</v>
      </c>
      <c r="H10" s="3" t="s">
        <v>371</v>
      </c>
      <c r="I10" s="3" t="s">
        <v>369</v>
      </c>
      <c r="J10" s="0" t="n">
        <v>0</v>
      </c>
      <c r="K10" s="3" t="s">
        <v>111</v>
      </c>
      <c r="L10" s="3" t="s">
        <v>353</v>
      </c>
    </row>
    <row r="11" customFormat="false" ht="15" hidden="false" customHeight="false" outlineLevel="0" collapsed="false">
      <c r="A11" s="3" t="s">
        <v>372</v>
      </c>
      <c r="B11" s="0" t="n">
        <v>4210000</v>
      </c>
      <c r="C11" s="3" t="s">
        <v>115</v>
      </c>
      <c r="D11" s="3" t="s">
        <v>117</v>
      </c>
      <c r="E11" s="3" t="s">
        <v>339</v>
      </c>
      <c r="F11" s="3" t="s">
        <v>340</v>
      </c>
      <c r="G11" s="3"/>
      <c r="H11" s="3" t="s">
        <v>373</v>
      </c>
      <c r="I11" s="3" t="s">
        <v>374</v>
      </c>
      <c r="J11" s="0" t="n">
        <v>0</v>
      </c>
      <c r="K11" s="3" t="s">
        <v>343</v>
      </c>
      <c r="L11" s="3" t="s">
        <v>348</v>
      </c>
    </row>
    <row r="12" customFormat="false" ht="15" hidden="false" customHeight="false" outlineLevel="0" collapsed="false">
      <c r="A12" s="3" t="s">
        <v>375</v>
      </c>
      <c r="B12" s="0" t="n">
        <v>350000</v>
      </c>
      <c r="C12" s="3" t="s">
        <v>115</v>
      </c>
      <c r="D12" s="3" t="s">
        <v>117</v>
      </c>
      <c r="E12" s="3" t="s">
        <v>339</v>
      </c>
      <c r="F12" s="3" t="s">
        <v>346</v>
      </c>
      <c r="G12" s="3" t="s">
        <v>372</v>
      </c>
      <c r="H12" s="3" t="s">
        <v>376</v>
      </c>
      <c r="I12" s="3" t="s">
        <v>374</v>
      </c>
      <c r="J12" s="0" t="n">
        <v>0</v>
      </c>
      <c r="K12" s="3" t="s">
        <v>343</v>
      </c>
      <c r="L12" s="3" t="s">
        <v>353</v>
      </c>
    </row>
    <row r="13" customFormat="false" ht="15" hidden="false" customHeight="false" outlineLevel="0" collapsed="false">
      <c r="A13" s="3" t="s">
        <v>377</v>
      </c>
      <c r="B13" s="0" t="n">
        <v>910000</v>
      </c>
      <c r="C13" s="3" t="s">
        <v>115</v>
      </c>
      <c r="D13" s="3" t="s">
        <v>117</v>
      </c>
      <c r="E13" s="3" t="s">
        <v>363</v>
      </c>
      <c r="F13" s="3" t="s">
        <v>340</v>
      </c>
      <c r="G13" s="3"/>
      <c r="H13" s="3" t="s">
        <v>378</v>
      </c>
      <c r="I13" s="3" t="s">
        <v>365</v>
      </c>
      <c r="J13" s="0" t="n">
        <v>0</v>
      </c>
      <c r="K13" s="3" t="s">
        <v>343</v>
      </c>
      <c r="L13" s="3" t="s">
        <v>353</v>
      </c>
    </row>
    <row r="14" customFormat="false" ht="15" hidden="false" customHeight="false" outlineLevel="0" collapsed="false">
      <c r="A14" s="3" t="s">
        <v>379</v>
      </c>
      <c r="B14" s="0" t="n">
        <v>620000</v>
      </c>
      <c r="C14" s="3" t="s">
        <v>121</v>
      </c>
      <c r="D14" s="3" t="s">
        <v>123</v>
      </c>
      <c r="E14" s="3" t="s">
        <v>339</v>
      </c>
      <c r="F14" s="3" t="s">
        <v>340</v>
      </c>
      <c r="G14" s="3"/>
      <c r="H14" s="3" t="s">
        <v>313</v>
      </c>
      <c r="I14" s="3" t="s">
        <v>374</v>
      </c>
      <c r="K14" s="3" t="s">
        <v>343</v>
      </c>
      <c r="L14" s="3" t="s">
        <v>353</v>
      </c>
    </row>
    <row r="15" customFormat="false" ht="15" hidden="false" customHeight="false" outlineLevel="0" collapsed="false">
      <c r="A15" s="3" t="s">
        <v>380</v>
      </c>
      <c r="B15" s="0" t="n">
        <v>180000</v>
      </c>
      <c r="C15" s="3" t="s">
        <v>121</v>
      </c>
      <c r="D15" s="3" t="s">
        <v>123</v>
      </c>
      <c r="E15" s="3" t="s">
        <v>363</v>
      </c>
      <c r="F15" s="3" t="s">
        <v>340</v>
      </c>
      <c r="G15" s="3"/>
      <c r="H15" s="3" t="s">
        <v>381</v>
      </c>
      <c r="I15" s="3" t="s">
        <v>365</v>
      </c>
      <c r="K15" s="3" t="s">
        <v>343</v>
      </c>
      <c r="L15" s="3" t="s">
        <v>382</v>
      </c>
    </row>
    <row r="16" customFormat="false" ht="15" hidden="false" customHeight="false" outlineLevel="0" collapsed="false">
      <c r="A16" s="3" t="s">
        <v>383</v>
      </c>
      <c r="B16" s="0" t="n">
        <v>2280000</v>
      </c>
      <c r="C16" s="3" t="s">
        <v>128</v>
      </c>
      <c r="D16" s="3" t="s">
        <v>130</v>
      </c>
      <c r="E16" s="3" t="s">
        <v>339</v>
      </c>
      <c r="F16" s="3" t="s">
        <v>340</v>
      </c>
      <c r="G16" s="3"/>
      <c r="H16" s="3" t="s">
        <v>333</v>
      </c>
      <c r="I16" s="3" t="s">
        <v>374</v>
      </c>
      <c r="K16" s="3" t="s">
        <v>343</v>
      </c>
      <c r="L16" s="3" t="s">
        <v>348</v>
      </c>
    </row>
    <row r="17" customFormat="false" ht="15" hidden="false" customHeight="false" outlineLevel="0" collapsed="false">
      <c r="A17" s="3" t="s">
        <v>384</v>
      </c>
      <c r="B17" s="0" t="n">
        <v>260000</v>
      </c>
      <c r="C17" s="3" t="s">
        <v>128</v>
      </c>
      <c r="D17" s="3" t="s">
        <v>130</v>
      </c>
      <c r="E17" s="3" t="s">
        <v>339</v>
      </c>
      <c r="F17" s="3" t="s">
        <v>346</v>
      </c>
      <c r="G17" s="3" t="s">
        <v>383</v>
      </c>
      <c r="H17" s="3" t="s">
        <v>385</v>
      </c>
      <c r="I17" s="3" t="s">
        <v>374</v>
      </c>
      <c r="K17" s="3" t="s">
        <v>343</v>
      </c>
      <c r="L17" s="3" t="s">
        <v>353</v>
      </c>
    </row>
    <row r="18" customFormat="false" ht="15" hidden="false" customHeight="false" outlineLevel="0" collapsed="false">
      <c r="A18" s="3" t="s">
        <v>386</v>
      </c>
      <c r="B18" s="0" t="n">
        <v>950000</v>
      </c>
      <c r="C18" s="3" t="s">
        <v>135</v>
      </c>
      <c r="D18" s="3" t="s">
        <v>137</v>
      </c>
      <c r="E18" s="3" t="s">
        <v>387</v>
      </c>
      <c r="F18" s="3" t="s">
        <v>340</v>
      </c>
      <c r="G18" s="3"/>
      <c r="H18" s="3" t="s">
        <v>388</v>
      </c>
      <c r="I18" s="3" t="s">
        <v>342</v>
      </c>
      <c r="K18" s="3" t="s">
        <v>343</v>
      </c>
      <c r="L18" s="3" t="s">
        <v>353</v>
      </c>
    </row>
    <row r="19" customFormat="false" ht="15" hidden="false" customHeight="false" outlineLevel="0" collapsed="false">
      <c r="A19" s="3" t="s">
        <v>389</v>
      </c>
      <c r="B19" s="0" t="n">
        <v>210000</v>
      </c>
      <c r="C19" s="3" t="s">
        <v>135</v>
      </c>
      <c r="D19" s="3" t="s">
        <v>137</v>
      </c>
      <c r="E19" s="3" t="s">
        <v>363</v>
      </c>
      <c r="F19" s="3" t="s">
        <v>340</v>
      </c>
      <c r="G19" s="3"/>
      <c r="H19" s="3" t="s">
        <v>390</v>
      </c>
      <c r="I19" s="3" t="s">
        <v>365</v>
      </c>
      <c r="K19" s="3" t="s">
        <v>343</v>
      </c>
      <c r="L19" s="3" t="s">
        <v>382</v>
      </c>
    </row>
    <row r="20" customFormat="false" ht="15" hidden="false" customHeight="false" outlineLevel="0" collapsed="false">
      <c r="A20" s="3" t="s">
        <v>391</v>
      </c>
      <c r="B20" s="0" t="n">
        <v>160000</v>
      </c>
      <c r="C20" s="3" t="s">
        <v>135</v>
      </c>
      <c r="D20" s="3" t="s">
        <v>137</v>
      </c>
      <c r="E20" s="3" t="s">
        <v>367</v>
      </c>
      <c r="F20" s="3" t="s">
        <v>340</v>
      </c>
      <c r="G20" s="3"/>
      <c r="H20" s="3" t="s">
        <v>296</v>
      </c>
      <c r="I20" s="3" t="s">
        <v>369</v>
      </c>
      <c r="K20" s="3" t="s">
        <v>111</v>
      </c>
      <c r="L20" s="3" t="s">
        <v>382</v>
      </c>
    </row>
    <row r="21" customFormat="false" ht="15" hidden="false" customHeight="false" outlineLevel="0" collapsed="false">
      <c r="A21" s="3" t="s">
        <v>392</v>
      </c>
      <c r="B21" s="0" t="n">
        <v>420000</v>
      </c>
      <c r="C21" s="3" t="s">
        <v>142</v>
      </c>
      <c r="D21" s="3" t="s">
        <v>144</v>
      </c>
      <c r="E21" s="3" t="s">
        <v>339</v>
      </c>
      <c r="F21" s="3" t="s">
        <v>340</v>
      </c>
      <c r="G21" s="3"/>
      <c r="H21" s="3" t="s">
        <v>393</v>
      </c>
      <c r="I21" s="3" t="s">
        <v>342</v>
      </c>
      <c r="K21" s="3" t="s">
        <v>343</v>
      </c>
      <c r="L21" s="3" t="s">
        <v>353</v>
      </c>
    </row>
    <row r="22" customFormat="false" ht="15" hidden="false" customHeight="false" outlineLevel="0" collapsed="false">
      <c r="A22" s="3" t="s">
        <v>394</v>
      </c>
      <c r="B22" s="0" t="n">
        <v>3110000</v>
      </c>
      <c r="C22" s="3" t="s">
        <v>149</v>
      </c>
      <c r="D22" s="3" t="s">
        <v>151</v>
      </c>
      <c r="E22" s="3" t="s">
        <v>395</v>
      </c>
      <c r="F22" s="3" t="s">
        <v>340</v>
      </c>
      <c r="G22" s="3"/>
      <c r="H22" s="3" t="s">
        <v>396</v>
      </c>
      <c r="I22" s="3" t="s">
        <v>342</v>
      </c>
      <c r="K22" s="3" t="s">
        <v>343</v>
      </c>
      <c r="L22" s="3" t="s">
        <v>348</v>
      </c>
    </row>
    <row r="23" customFormat="false" ht="15" hidden="false" customHeight="false" outlineLevel="0" collapsed="false">
      <c r="A23" s="3" t="s">
        <v>397</v>
      </c>
      <c r="B23" s="0" t="n">
        <v>580000</v>
      </c>
      <c r="C23" s="3" t="s">
        <v>149</v>
      </c>
      <c r="D23" s="3" t="s">
        <v>151</v>
      </c>
      <c r="E23" s="3" t="s">
        <v>395</v>
      </c>
      <c r="F23" s="3" t="s">
        <v>346</v>
      </c>
      <c r="G23" s="3" t="s">
        <v>394</v>
      </c>
      <c r="H23" s="3" t="s">
        <v>398</v>
      </c>
      <c r="I23" s="3" t="s">
        <v>342</v>
      </c>
      <c r="K23" s="3" t="s">
        <v>343</v>
      </c>
      <c r="L23" s="3" t="s">
        <v>353</v>
      </c>
    </row>
    <row r="24" customFormat="false" ht="15" hidden="false" customHeight="false" outlineLevel="0" collapsed="false">
      <c r="A24" s="3" t="s">
        <v>399</v>
      </c>
      <c r="B24" s="0" t="n">
        <v>820000</v>
      </c>
      <c r="C24" s="3" t="s">
        <v>149</v>
      </c>
      <c r="D24" s="3" t="s">
        <v>151</v>
      </c>
      <c r="E24" s="3" t="s">
        <v>363</v>
      </c>
      <c r="F24" s="3" t="s">
        <v>340</v>
      </c>
      <c r="G24" s="3"/>
      <c r="H24" s="3" t="s">
        <v>378</v>
      </c>
      <c r="I24" s="3" t="s">
        <v>365</v>
      </c>
      <c r="K24" s="3" t="s">
        <v>343</v>
      </c>
      <c r="L24" s="3" t="s">
        <v>353</v>
      </c>
    </row>
    <row r="25" customFormat="false" ht="15" hidden="false" customHeight="false" outlineLevel="0" collapsed="false">
      <c r="A25" s="3" t="s">
        <v>400</v>
      </c>
      <c r="B25" s="0" t="n">
        <v>110000</v>
      </c>
      <c r="C25" s="3" t="s">
        <v>149</v>
      </c>
      <c r="D25" s="3" t="s">
        <v>151</v>
      </c>
      <c r="E25" s="3" t="s">
        <v>401</v>
      </c>
      <c r="F25" s="3" t="s">
        <v>340</v>
      </c>
      <c r="G25" s="3"/>
      <c r="H25" s="3" t="s">
        <v>385</v>
      </c>
      <c r="I25" s="3" t="s">
        <v>402</v>
      </c>
      <c r="K25" s="3" t="s">
        <v>343</v>
      </c>
      <c r="L25" s="3" t="s">
        <v>382</v>
      </c>
    </row>
    <row r="26" customFormat="false" ht="15" hidden="false" customHeight="false" outlineLevel="0" collapsed="false">
      <c r="A26" s="3" t="s">
        <v>403</v>
      </c>
      <c r="B26" s="0" t="n">
        <v>3380000</v>
      </c>
      <c r="C26" s="3" t="s">
        <v>157</v>
      </c>
      <c r="D26" s="3" t="s">
        <v>159</v>
      </c>
      <c r="E26" s="3" t="s">
        <v>404</v>
      </c>
      <c r="F26" s="3" t="s">
        <v>340</v>
      </c>
      <c r="G26" s="3"/>
      <c r="H26" s="3" t="s">
        <v>405</v>
      </c>
      <c r="I26" s="3" t="s">
        <v>406</v>
      </c>
      <c r="K26" s="3" t="s">
        <v>343</v>
      </c>
      <c r="L26" s="3" t="s">
        <v>348</v>
      </c>
    </row>
    <row r="27" customFormat="false" ht="15" hidden="false" customHeight="false" outlineLevel="0" collapsed="false">
      <c r="A27" s="3" t="s">
        <v>407</v>
      </c>
      <c r="B27" s="0" t="n">
        <v>290000</v>
      </c>
      <c r="C27" s="3" t="s">
        <v>157</v>
      </c>
      <c r="D27" s="3" t="s">
        <v>159</v>
      </c>
      <c r="E27" s="3" t="s">
        <v>404</v>
      </c>
      <c r="F27" s="3" t="s">
        <v>346</v>
      </c>
      <c r="G27" s="3" t="s">
        <v>403</v>
      </c>
      <c r="H27" s="3" t="s">
        <v>381</v>
      </c>
      <c r="I27" s="3" t="s">
        <v>406</v>
      </c>
      <c r="K27" s="3" t="s">
        <v>343</v>
      </c>
      <c r="L27" s="3" t="s">
        <v>353</v>
      </c>
    </row>
    <row r="28" customFormat="false" ht="15" hidden="false" customHeight="false" outlineLevel="0" collapsed="false">
      <c r="A28" s="3" t="s">
        <v>408</v>
      </c>
      <c r="B28" s="0" t="n">
        <v>420000</v>
      </c>
      <c r="C28" s="3" t="s">
        <v>306</v>
      </c>
      <c r="D28" s="3" t="s">
        <v>159</v>
      </c>
      <c r="E28" s="3" t="s">
        <v>404</v>
      </c>
      <c r="F28" s="3" t="s">
        <v>340</v>
      </c>
      <c r="G28" s="3"/>
      <c r="H28" s="3" t="s">
        <v>409</v>
      </c>
      <c r="I28" s="3" t="s">
        <v>171</v>
      </c>
      <c r="K28" s="3" t="s">
        <v>343</v>
      </c>
      <c r="L28" s="3" t="s">
        <v>353</v>
      </c>
    </row>
    <row r="29" customFormat="false" ht="15" hidden="false" customHeight="false" outlineLevel="0" collapsed="false">
      <c r="A29" s="3" t="s">
        <v>410</v>
      </c>
      <c r="B29" s="0" t="n">
        <v>960000</v>
      </c>
      <c r="C29" s="3" t="s">
        <v>165</v>
      </c>
      <c r="D29" s="3" t="s">
        <v>167</v>
      </c>
      <c r="E29" s="3" t="s">
        <v>339</v>
      </c>
      <c r="F29" s="3" t="s">
        <v>340</v>
      </c>
      <c r="G29" s="3"/>
      <c r="H29" s="3" t="s">
        <v>411</v>
      </c>
      <c r="I29" s="3" t="s">
        <v>342</v>
      </c>
      <c r="K29" s="3" t="s">
        <v>343</v>
      </c>
      <c r="L29" s="3" t="s">
        <v>353</v>
      </c>
    </row>
    <row r="30" customFormat="false" ht="15" hidden="false" customHeight="false" outlineLevel="0" collapsed="false">
      <c r="A30" s="3" t="s">
        <v>412</v>
      </c>
      <c r="B30" s="0" t="n">
        <v>310000</v>
      </c>
      <c r="C30" s="3" t="s">
        <v>165</v>
      </c>
      <c r="D30" s="3" t="s">
        <v>167</v>
      </c>
      <c r="E30" s="3" t="s">
        <v>404</v>
      </c>
      <c r="F30" s="3" t="s">
        <v>340</v>
      </c>
      <c r="G30" s="3"/>
      <c r="H30" s="3" t="s">
        <v>398</v>
      </c>
      <c r="I30" s="3" t="s">
        <v>413</v>
      </c>
      <c r="K30" s="3" t="s">
        <v>414</v>
      </c>
      <c r="L30" s="3" t="s">
        <v>353</v>
      </c>
    </row>
    <row r="31" customFormat="false" ht="15" hidden="false" customHeight="false" outlineLevel="0" collapsed="false">
      <c r="A31" s="3" t="s">
        <v>415</v>
      </c>
      <c r="B31" s="0" t="n">
        <v>580000</v>
      </c>
      <c r="C31" s="3" t="s">
        <v>165</v>
      </c>
      <c r="D31" s="3" t="s">
        <v>167</v>
      </c>
      <c r="E31" s="3" t="s">
        <v>404</v>
      </c>
      <c r="F31" s="3" t="s">
        <v>340</v>
      </c>
      <c r="G31" s="3"/>
      <c r="H31" s="3" t="s">
        <v>416</v>
      </c>
      <c r="I31" s="3" t="s">
        <v>417</v>
      </c>
      <c r="K31" s="3" t="s">
        <v>343</v>
      </c>
      <c r="L31" s="3" t="s">
        <v>353</v>
      </c>
    </row>
    <row r="32" customFormat="false" ht="15" hidden="false" customHeight="false" outlineLevel="0" collapsed="false">
      <c r="A32" s="3" t="s">
        <v>418</v>
      </c>
      <c r="B32" s="0" t="n">
        <v>240000</v>
      </c>
      <c r="C32" s="3" t="s">
        <v>165</v>
      </c>
      <c r="D32" s="3" t="s">
        <v>167</v>
      </c>
      <c r="E32" s="3" t="s">
        <v>419</v>
      </c>
      <c r="F32" s="3" t="s">
        <v>340</v>
      </c>
      <c r="G32" s="3"/>
      <c r="H32" s="3" t="s">
        <v>420</v>
      </c>
      <c r="I32" s="3" t="s">
        <v>361</v>
      </c>
      <c r="K32" s="3" t="s">
        <v>343</v>
      </c>
      <c r="L32" s="3" t="s">
        <v>382</v>
      </c>
    </row>
    <row r="33" customFormat="false" ht="15" hidden="false" customHeight="false" outlineLevel="0" collapsed="false">
      <c r="A33" s="3" t="s">
        <v>421</v>
      </c>
      <c r="B33" s="0" t="n">
        <v>520000</v>
      </c>
      <c r="C33" s="3" t="s">
        <v>173</v>
      </c>
      <c r="D33" s="3" t="s">
        <v>175</v>
      </c>
      <c r="E33" s="3" t="s">
        <v>419</v>
      </c>
      <c r="F33" s="3" t="s">
        <v>340</v>
      </c>
      <c r="G33" s="3"/>
      <c r="H33" s="3" t="s">
        <v>422</v>
      </c>
      <c r="I33" s="3" t="s">
        <v>361</v>
      </c>
      <c r="K33" s="3" t="s">
        <v>343</v>
      </c>
      <c r="L33" s="3" t="s">
        <v>353</v>
      </c>
    </row>
    <row r="34" customFormat="false" ht="15" hidden="false" customHeight="false" outlineLevel="0" collapsed="false">
      <c r="A34" s="3" t="s">
        <v>423</v>
      </c>
      <c r="B34" s="0" t="n">
        <v>210000</v>
      </c>
      <c r="C34" s="3" t="s">
        <v>173</v>
      </c>
      <c r="D34" s="3" t="s">
        <v>175</v>
      </c>
      <c r="E34" s="3" t="s">
        <v>404</v>
      </c>
      <c r="F34" s="3" t="s">
        <v>340</v>
      </c>
      <c r="G34" s="3"/>
      <c r="H34" s="3" t="s">
        <v>424</v>
      </c>
      <c r="I34" s="3" t="s">
        <v>425</v>
      </c>
      <c r="K34" s="3" t="s">
        <v>414</v>
      </c>
      <c r="L34" s="3" t="s">
        <v>382</v>
      </c>
    </row>
    <row r="35" customFormat="false" ht="15" hidden="false" customHeight="false" outlineLevel="0" collapsed="false">
      <c r="A35" s="3" t="s">
        <v>426</v>
      </c>
      <c r="B35" s="0" t="n">
        <v>2860000</v>
      </c>
      <c r="C35" s="3" t="s">
        <v>179</v>
      </c>
      <c r="D35" s="3" t="s">
        <v>181</v>
      </c>
      <c r="E35" s="3" t="s">
        <v>419</v>
      </c>
      <c r="F35" s="3" t="s">
        <v>340</v>
      </c>
      <c r="G35" s="3"/>
      <c r="H35" s="3" t="s">
        <v>360</v>
      </c>
      <c r="I35" s="3" t="s">
        <v>361</v>
      </c>
      <c r="K35" s="3" t="s">
        <v>343</v>
      </c>
      <c r="L35" s="3" t="s">
        <v>348</v>
      </c>
    </row>
    <row r="36" customFormat="false" ht="15" hidden="false" customHeight="false" outlineLevel="0" collapsed="false">
      <c r="A36" s="3" t="s">
        <v>427</v>
      </c>
      <c r="B36" s="0" t="n">
        <v>410000</v>
      </c>
      <c r="C36" s="3" t="s">
        <v>179</v>
      </c>
      <c r="D36" s="3" t="s">
        <v>181</v>
      </c>
      <c r="E36" s="3" t="s">
        <v>419</v>
      </c>
      <c r="F36" s="3" t="s">
        <v>346</v>
      </c>
      <c r="G36" s="3" t="s">
        <v>426</v>
      </c>
      <c r="H36" s="3" t="s">
        <v>428</v>
      </c>
      <c r="I36" s="3" t="s">
        <v>361</v>
      </c>
      <c r="K36" s="3" t="s">
        <v>343</v>
      </c>
      <c r="L36" s="3" t="s">
        <v>353</v>
      </c>
    </row>
    <row r="37" customFormat="false" ht="15" hidden="false" customHeight="false" outlineLevel="0" collapsed="false">
      <c r="A37" s="3" t="s">
        <v>429</v>
      </c>
      <c r="B37" s="0" t="n">
        <v>980000</v>
      </c>
      <c r="C37" s="3" t="s">
        <v>179</v>
      </c>
      <c r="D37" s="3" t="s">
        <v>181</v>
      </c>
      <c r="E37" s="3" t="s">
        <v>430</v>
      </c>
      <c r="F37" s="3" t="s">
        <v>340</v>
      </c>
      <c r="G37" s="3"/>
      <c r="H37" s="3" t="s">
        <v>360</v>
      </c>
      <c r="I37" s="3" t="s">
        <v>361</v>
      </c>
      <c r="K37" s="3" t="s">
        <v>343</v>
      </c>
      <c r="L37" s="3" t="s">
        <v>353</v>
      </c>
    </row>
    <row r="38" customFormat="false" ht="15" hidden="false" customHeight="false" outlineLevel="0" collapsed="false">
      <c r="A38" s="3" t="s">
        <v>431</v>
      </c>
      <c r="B38" s="0" t="n">
        <v>250000</v>
      </c>
      <c r="C38" s="3" t="s">
        <v>185</v>
      </c>
      <c r="D38" s="3" t="s">
        <v>187</v>
      </c>
      <c r="E38" s="3" t="s">
        <v>432</v>
      </c>
      <c r="F38" s="3" t="s">
        <v>340</v>
      </c>
      <c r="G38" s="3"/>
      <c r="H38" s="3" t="s">
        <v>161</v>
      </c>
      <c r="I38" s="3" t="s">
        <v>433</v>
      </c>
      <c r="K38" s="3" t="s">
        <v>343</v>
      </c>
      <c r="L38" s="3" t="s">
        <v>353</v>
      </c>
    </row>
    <row r="39" customFormat="false" ht="15" hidden="false" customHeight="false" outlineLevel="0" collapsed="false">
      <c r="A39" s="3" t="s">
        <v>434</v>
      </c>
      <c r="B39" s="0" t="n">
        <v>180000</v>
      </c>
      <c r="C39" s="3" t="s">
        <v>185</v>
      </c>
      <c r="D39" s="3" t="s">
        <v>187</v>
      </c>
      <c r="E39" s="3" t="s">
        <v>430</v>
      </c>
      <c r="F39" s="3" t="s">
        <v>340</v>
      </c>
      <c r="G39" s="3"/>
      <c r="H39" s="3" t="s">
        <v>435</v>
      </c>
      <c r="I39" s="3" t="s">
        <v>361</v>
      </c>
      <c r="K39" s="3" t="s">
        <v>343</v>
      </c>
      <c r="L39" s="3" t="s">
        <v>382</v>
      </c>
    </row>
    <row r="40" customFormat="false" ht="15" hidden="false" customHeight="false" outlineLevel="0" collapsed="false">
      <c r="A40" s="3" t="s">
        <v>436</v>
      </c>
      <c r="B40" s="0" t="n">
        <v>2210000</v>
      </c>
      <c r="C40" s="3" t="s">
        <v>191</v>
      </c>
      <c r="D40" s="3" t="s">
        <v>193</v>
      </c>
      <c r="E40" s="3" t="s">
        <v>395</v>
      </c>
      <c r="F40" s="3" t="s">
        <v>340</v>
      </c>
      <c r="G40" s="3"/>
      <c r="H40" s="3" t="s">
        <v>437</v>
      </c>
      <c r="I40" s="3" t="s">
        <v>438</v>
      </c>
      <c r="K40" s="3" t="s">
        <v>414</v>
      </c>
      <c r="L40" s="3" t="s">
        <v>348</v>
      </c>
    </row>
    <row r="41" customFormat="false" ht="15" hidden="false" customHeight="false" outlineLevel="0" collapsed="false">
      <c r="A41" s="3" t="s">
        <v>439</v>
      </c>
      <c r="B41" s="0" t="n">
        <v>1580000</v>
      </c>
      <c r="C41" s="3" t="s">
        <v>191</v>
      </c>
      <c r="D41" s="3" t="s">
        <v>193</v>
      </c>
      <c r="E41" s="3" t="s">
        <v>401</v>
      </c>
      <c r="F41" s="3" t="s">
        <v>340</v>
      </c>
      <c r="G41" s="3"/>
      <c r="H41" s="3" t="s">
        <v>440</v>
      </c>
      <c r="I41" s="3" t="s">
        <v>402</v>
      </c>
      <c r="K41" s="3" t="s">
        <v>343</v>
      </c>
      <c r="L41" s="3" t="s">
        <v>348</v>
      </c>
    </row>
    <row r="42" customFormat="false" ht="15" hidden="false" customHeight="false" outlineLevel="0" collapsed="false">
      <c r="A42" s="3" t="s">
        <v>441</v>
      </c>
      <c r="B42" s="0" t="n">
        <v>350000</v>
      </c>
      <c r="C42" s="3" t="s">
        <v>191</v>
      </c>
      <c r="D42" s="3" t="s">
        <v>193</v>
      </c>
      <c r="E42" s="3" t="s">
        <v>442</v>
      </c>
      <c r="F42" s="3" t="s">
        <v>340</v>
      </c>
      <c r="G42" s="3"/>
      <c r="H42" s="3" t="s">
        <v>202</v>
      </c>
      <c r="I42" s="3" t="s">
        <v>433</v>
      </c>
      <c r="K42" s="3" t="s">
        <v>343</v>
      </c>
      <c r="L42" s="3" t="s">
        <v>353</v>
      </c>
    </row>
    <row r="43" customFormat="false" ht="15" hidden="false" customHeight="false" outlineLevel="0" collapsed="false">
      <c r="A43" s="3" t="s">
        <v>443</v>
      </c>
      <c r="B43" s="0" t="n">
        <v>1920000</v>
      </c>
      <c r="C43" s="3" t="s">
        <v>191</v>
      </c>
      <c r="D43" s="3" t="s">
        <v>193</v>
      </c>
      <c r="E43" s="3" t="s">
        <v>444</v>
      </c>
      <c r="F43" s="3" t="s">
        <v>340</v>
      </c>
      <c r="G43" s="3"/>
      <c r="H43" s="3" t="s">
        <v>445</v>
      </c>
      <c r="I43" s="3" t="s">
        <v>406</v>
      </c>
      <c r="K43" s="3" t="s">
        <v>343</v>
      </c>
      <c r="L43" s="3" t="s">
        <v>348</v>
      </c>
    </row>
    <row r="44" customFormat="false" ht="15" hidden="false" customHeight="false" outlineLevel="0" collapsed="false">
      <c r="A44" s="3" t="s">
        <v>446</v>
      </c>
      <c r="B44" s="0" t="n">
        <v>680000</v>
      </c>
      <c r="C44" s="3" t="s">
        <v>198</v>
      </c>
      <c r="D44" s="3" t="s">
        <v>193</v>
      </c>
      <c r="E44" s="3" t="s">
        <v>447</v>
      </c>
      <c r="F44" s="3" t="s">
        <v>340</v>
      </c>
      <c r="G44" s="3"/>
      <c r="H44" s="3" t="s">
        <v>385</v>
      </c>
      <c r="I44" s="3" t="s">
        <v>433</v>
      </c>
      <c r="K44" s="3" t="s">
        <v>343</v>
      </c>
      <c r="L44" s="3" t="s">
        <v>353</v>
      </c>
    </row>
    <row r="45" customFormat="false" ht="15" hidden="false" customHeight="false" outlineLevel="0" collapsed="false">
      <c r="A45" s="3" t="s">
        <v>448</v>
      </c>
      <c r="B45" s="0" t="n">
        <v>1420000</v>
      </c>
      <c r="C45" s="3" t="s">
        <v>205</v>
      </c>
      <c r="D45" s="3" t="s">
        <v>207</v>
      </c>
      <c r="E45" s="3" t="s">
        <v>395</v>
      </c>
      <c r="F45" s="3" t="s">
        <v>340</v>
      </c>
      <c r="G45" s="3"/>
      <c r="H45" s="3" t="s">
        <v>405</v>
      </c>
      <c r="I45" s="3" t="s">
        <v>417</v>
      </c>
      <c r="K45" s="3" t="s">
        <v>343</v>
      </c>
      <c r="L45" s="3" t="s">
        <v>348</v>
      </c>
    </row>
    <row r="46" customFormat="false" ht="15" hidden="false" customHeight="false" outlineLevel="0" collapsed="false">
      <c r="A46" s="3" t="s">
        <v>449</v>
      </c>
      <c r="B46" s="0" t="n">
        <v>610000</v>
      </c>
      <c r="C46" s="3" t="s">
        <v>205</v>
      </c>
      <c r="D46" s="3" t="s">
        <v>207</v>
      </c>
      <c r="E46" s="3" t="s">
        <v>363</v>
      </c>
      <c r="F46" s="3" t="s">
        <v>340</v>
      </c>
      <c r="G46" s="3"/>
      <c r="H46" s="3" t="s">
        <v>390</v>
      </c>
      <c r="I46" s="3" t="s">
        <v>402</v>
      </c>
      <c r="K46" s="3" t="s">
        <v>343</v>
      </c>
      <c r="L46" s="3" t="s">
        <v>353</v>
      </c>
    </row>
    <row r="47" customFormat="false" ht="15" hidden="false" customHeight="false" outlineLevel="0" collapsed="false">
      <c r="A47" s="3" t="s">
        <v>450</v>
      </c>
      <c r="B47" s="0" t="n">
        <v>720000</v>
      </c>
      <c r="C47" s="3" t="s">
        <v>205</v>
      </c>
      <c r="D47" s="3" t="s">
        <v>207</v>
      </c>
      <c r="E47" s="3" t="s">
        <v>444</v>
      </c>
      <c r="F47" s="3" t="s">
        <v>340</v>
      </c>
      <c r="G47" s="3"/>
      <c r="H47" s="3" t="s">
        <v>451</v>
      </c>
      <c r="I47" s="3" t="s">
        <v>452</v>
      </c>
      <c r="K47" s="3" t="s">
        <v>343</v>
      </c>
      <c r="L47" s="3" t="s">
        <v>353</v>
      </c>
    </row>
    <row r="48" customFormat="false" ht="15" hidden="false" customHeight="false" outlineLevel="0" collapsed="false">
      <c r="A48" s="3" t="s">
        <v>453</v>
      </c>
      <c r="B48" s="0" t="n">
        <v>550000</v>
      </c>
      <c r="C48" s="3" t="s">
        <v>212</v>
      </c>
      <c r="D48" s="3" t="s">
        <v>214</v>
      </c>
      <c r="E48" s="3" t="s">
        <v>395</v>
      </c>
      <c r="F48" s="3" t="s">
        <v>340</v>
      </c>
      <c r="G48" s="3"/>
      <c r="H48" s="3" t="s">
        <v>454</v>
      </c>
      <c r="I48" s="3" t="s">
        <v>342</v>
      </c>
      <c r="K48" s="3" t="s">
        <v>343</v>
      </c>
      <c r="L48" s="3" t="s">
        <v>353</v>
      </c>
    </row>
    <row r="49" customFormat="false" ht="15" hidden="false" customHeight="false" outlineLevel="0" collapsed="false">
      <c r="A49" s="3" t="s">
        <v>455</v>
      </c>
      <c r="B49" s="0" t="n">
        <v>200000</v>
      </c>
      <c r="C49" s="3" t="s">
        <v>212</v>
      </c>
      <c r="D49" s="3" t="s">
        <v>214</v>
      </c>
      <c r="E49" s="3" t="s">
        <v>444</v>
      </c>
      <c r="F49" s="3" t="s">
        <v>340</v>
      </c>
      <c r="G49" s="3"/>
      <c r="H49" s="3" t="s">
        <v>456</v>
      </c>
      <c r="I49" s="3" t="s">
        <v>402</v>
      </c>
      <c r="K49" s="3" t="s">
        <v>343</v>
      </c>
      <c r="L49" s="3" t="s">
        <v>382</v>
      </c>
    </row>
    <row r="50" customFormat="false" ht="15" hidden="false" customHeight="false" outlineLevel="0" collapsed="false">
      <c r="A50" s="3" t="s">
        <v>457</v>
      </c>
      <c r="B50" s="0" t="n">
        <v>180000</v>
      </c>
      <c r="C50" s="3" t="s">
        <v>219</v>
      </c>
      <c r="D50" s="3" t="s">
        <v>221</v>
      </c>
      <c r="E50" s="3" t="s">
        <v>387</v>
      </c>
      <c r="F50" s="3" t="s">
        <v>340</v>
      </c>
      <c r="G50" s="3"/>
      <c r="H50" s="3" t="s">
        <v>360</v>
      </c>
      <c r="I50" s="3" t="s">
        <v>361</v>
      </c>
      <c r="K50" s="3" t="s">
        <v>343</v>
      </c>
      <c r="L50" s="3" t="s">
        <v>382</v>
      </c>
    </row>
    <row r="51" customFormat="false" ht="15" hidden="false" customHeight="false" outlineLevel="0" collapsed="false">
      <c r="A51" s="3" t="s">
        <v>458</v>
      </c>
      <c r="B51" s="0" t="n">
        <v>460000</v>
      </c>
      <c r="C51" s="3" t="s">
        <v>224</v>
      </c>
      <c r="D51" s="3" t="s">
        <v>226</v>
      </c>
      <c r="E51" s="3" t="s">
        <v>459</v>
      </c>
      <c r="F51" s="3" t="s">
        <v>340</v>
      </c>
      <c r="G51" s="3"/>
      <c r="H51" s="3" t="s">
        <v>360</v>
      </c>
      <c r="I51" s="3" t="s">
        <v>361</v>
      </c>
      <c r="K51" s="3" t="s">
        <v>343</v>
      </c>
      <c r="L51" s="3" t="s">
        <v>353</v>
      </c>
    </row>
    <row r="52" customFormat="false" ht="15" hidden="false" customHeight="false" outlineLevel="0" collapsed="false">
      <c r="A52" s="3" t="s">
        <v>460</v>
      </c>
      <c r="B52" s="0" t="n">
        <v>32000</v>
      </c>
      <c r="C52" s="3" t="s">
        <v>229</v>
      </c>
      <c r="D52" s="3" t="s">
        <v>231</v>
      </c>
      <c r="E52" s="3" t="s">
        <v>461</v>
      </c>
      <c r="F52" s="3" t="s">
        <v>340</v>
      </c>
      <c r="G52" s="3"/>
      <c r="H52" s="3" t="s">
        <v>462</v>
      </c>
      <c r="I52" s="3" t="s">
        <v>433</v>
      </c>
      <c r="K52" s="3" t="s">
        <v>343</v>
      </c>
      <c r="L52" s="3" t="s">
        <v>382</v>
      </c>
    </row>
    <row r="53" customFormat="false" ht="15" hidden="false" customHeight="false" outlineLevel="0" collapsed="false">
      <c r="A53" s="3" t="s">
        <v>463</v>
      </c>
      <c r="B53" s="0" t="n">
        <v>94000</v>
      </c>
      <c r="C53" s="3" t="s">
        <v>234</v>
      </c>
      <c r="D53" s="3" t="s">
        <v>236</v>
      </c>
      <c r="E53" s="3" t="s">
        <v>464</v>
      </c>
      <c r="F53" s="3" t="s">
        <v>340</v>
      </c>
      <c r="G53" s="3"/>
      <c r="H53" s="3" t="s">
        <v>360</v>
      </c>
      <c r="I53" s="3" t="s">
        <v>361</v>
      </c>
      <c r="K53" s="3" t="s">
        <v>343</v>
      </c>
      <c r="L53" s="3" t="s">
        <v>382</v>
      </c>
    </row>
    <row r="54" customFormat="false" ht="15" hidden="false" customHeight="false" outlineLevel="0" collapsed="false">
      <c r="A54" s="3" t="s">
        <v>465</v>
      </c>
      <c r="B54" s="0" t="n">
        <v>71000</v>
      </c>
      <c r="C54" s="3" t="s">
        <v>239</v>
      </c>
      <c r="D54" s="3" t="s">
        <v>241</v>
      </c>
      <c r="E54" s="3" t="s">
        <v>459</v>
      </c>
      <c r="F54" s="3" t="s">
        <v>340</v>
      </c>
      <c r="G54" s="3"/>
      <c r="H54" s="3" t="s">
        <v>360</v>
      </c>
      <c r="I54" s="3" t="s">
        <v>361</v>
      </c>
      <c r="K54" s="3" t="s">
        <v>343</v>
      </c>
      <c r="L54" s="3" t="s">
        <v>382</v>
      </c>
    </row>
    <row r="55" customFormat="false" ht="15" hidden="false" customHeight="false" outlineLevel="0" collapsed="false">
      <c r="A55" s="3" t="s">
        <v>466</v>
      </c>
      <c r="B55" s="0" t="n">
        <v>186000</v>
      </c>
      <c r="C55" s="3" t="s">
        <v>244</v>
      </c>
      <c r="D55" s="3" t="s">
        <v>246</v>
      </c>
      <c r="E55" s="3" t="s">
        <v>459</v>
      </c>
      <c r="F55" s="3" t="s">
        <v>340</v>
      </c>
      <c r="G55" s="3"/>
      <c r="H55" s="3" t="s">
        <v>360</v>
      </c>
      <c r="I55" s="3" t="s">
        <v>361</v>
      </c>
      <c r="K55" s="3" t="s">
        <v>343</v>
      </c>
      <c r="L55" s="3" t="s">
        <v>382</v>
      </c>
    </row>
    <row r="56" customFormat="false" ht="15" hidden="false" customHeight="false" outlineLevel="0" collapsed="false">
      <c r="A56" s="3" t="s">
        <v>467</v>
      </c>
      <c r="B56" s="0" t="n">
        <v>112000</v>
      </c>
      <c r="C56" s="3" t="s">
        <v>249</v>
      </c>
      <c r="D56" s="3" t="s">
        <v>246</v>
      </c>
      <c r="E56" s="3" t="s">
        <v>459</v>
      </c>
      <c r="F56" s="3" t="s">
        <v>340</v>
      </c>
      <c r="G56" s="3"/>
      <c r="H56" s="3" t="s">
        <v>360</v>
      </c>
      <c r="I56" s="3" t="s">
        <v>361</v>
      </c>
      <c r="K56" s="3" t="s">
        <v>343</v>
      </c>
      <c r="L56" s="3" t="s">
        <v>382</v>
      </c>
    </row>
    <row r="57" customFormat="false" ht="15" hidden="false" customHeight="false" outlineLevel="0" collapsed="false">
      <c r="A57" s="3" t="s">
        <v>468</v>
      </c>
      <c r="B57" s="0" t="n">
        <v>58000</v>
      </c>
      <c r="C57" s="3" t="s">
        <v>252</v>
      </c>
      <c r="D57" s="3" t="s">
        <v>246</v>
      </c>
      <c r="E57" s="3" t="s">
        <v>459</v>
      </c>
      <c r="F57" s="3" t="s">
        <v>340</v>
      </c>
      <c r="G57" s="3"/>
      <c r="H57" s="3" t="s">
        <v>360</v>
      </c>
      <c r="I57" s="3" t="s">
        <v>361</v>
      </c>
      <c r="K57" s="3" t="s">
        <v>343</v>
      </c>
      <c r="L57" s="3" t="s">
        <v>382</v>
      </c>
    </row>
    <row r="58" customFormat="false" ht="15" hidden="false" customHeight="false" outlineLevel="0" collapsed="false">
      <c r="A58" s="3" t="s">
        <v>469</v>
      </c>
      <c r="B58" s="0" t="n">
        <v>49000</v>
      </c>
      <c r="C58" s="3" t="s">
        <v>263</v>
      </c>
      <c r="D58" s="3" t="s">
        <v>265</v>
      </c>
      <c r="E58" s="3" t="s">
        <v>459</v>
      </c>
      <c r="F58" s="3" t="s">
        <v>340</v>
      </c>
      <c r="G58" s="3"/>
      <c r="H58" s="3" t="s">
        <v>360</v>
      </c>
      <c r="I58" s="3" t="s">
        <v>361</v>
      </c>
      <c r="K58" s="3" t="s">
        <v>343</v>
      </c>
      <c r="L58" s="3" t="s">
        <v>382</v>
      </c>
    </row>
    <row r="59" customFormat="false" ht="15" hidden="false" customHeight="false" outlineLevel="0" collapsed="false">
      <c r="A59" s="3" t="s">
        <v>470</v>
      </c>
      <c r="B59" s="0" t="n">
        <v>21000</v>
      </c>
      <c r="C59" s="3" t="s">
        <v>267</v>
      </c>
      <c r="D59" s="3" t="s">
        <v>246</v>
      </c>
      <c r="E59" s="3" t="s">
        <v>459</v>
      </c>
      <c r="F59" s="3" t="s">
        <v>340</v>
      </c>
      <c r="G59" s="3"/>
      <c r="H59" s="3" t="s">
        <v>360</v>
      </c>
      <c r="I59" s="3" t="s">
        <v>361</v>
      </c>
      <c r="K59" s="3" t="s">
        <v>343</v>
      </c>
      <c r="L59" s="3" t="s">
        <v>382</v>
      </c>
    </row>
    <row r="60" customFormat="false" ht="15" hidden="false" customHeight="false" outlineLevel="0" collapsed="false">
      <c r="A60" s="3" t="s">
        <v>471</v>
      </c>
      <c r="B60" s="0" t="n">
        <v>330000</v>
      </c>
      <c r="C60" s="3" t="s">
        <v>270</v>
      </c>
      <c r="D60" s="3" t="s">
        <v>272</v>
      </c>
      <c r="E60" s="3" t="s">
        <v>387</v>
      </c>
      <c r="F60" s="3" t="s">
        <v>340</v>
      </c>
      <c r="G60" s="3"/>
      <c r="H60" s="3" t="s">
        <v>273</v>
      </c>
      <c r="I60" s="3" t="s">
        <v>171</v>
      </c>
      <c r="K60" s="3" t="s">
        <v>343</v>
      </c>
      <c r="L60" s="3" t="s">
        <v>353</v>
      </c>
    </row>
    <row r="61" customFormat="false" ht="15" hidden="false" customHeight="false" outlineLevel="0" collapsed="false">
      <c r="A61" s="3" t="s">
        <v>472</v>
      </c>
      <c r="B61" s="0" t="n">
        <v>140000</v>
      </c>
      <c r="C61" s="3" t="s">
        <v>274</v>
      </c>
      <c r="D61" s="3" t="s">
        <v>276</v>
      </c>
      <c r="E61" s="3" t="s">
        <v>404</v>
      </c>
      <c r="F61" s="3" t="s">
        <v>340</v>
      </c>
      <c r="G61" s="3"/>
      <c r="H61" s="3" t="s">
        <v>473</v>
      </c>
      <c r="I61" s="3" t="s">
        <v>402</v>
      </c>
      <c r="K61" s="3" t="s">
        <v>343</v>
      </c>
      <c r="L61" s="3" t="s">
        <v>382</v>
      </c>
    </row>
    <row r="62" customFormat="false" ht="15" hidden="false" customHeight="false" outlineLevel="0" collapsed="false">
      <c r="A62" s="3" t="s">
        <v>474</v>
      </c>
      <c r="B62" s="0" t="n">
        <v>200000</v>
      </c>
      <c r="C62" s="3" t="s">
        <v>274</v>
      </c>
      <c r="D62" s="3" t="s">
        <v>276</v>
      </c>
      <c r="E62" s="3" t="s">
        <v>387</v>
      </c>
      <c r="F62" s="3" t="s">
        <v>340</v>
      </c>
      <c r="G62" s="3"/>
      <c r="H62" s="3" t="s">
        <v>475</v>
      </c>
      <c r="I62" s="3" t="s">
        <v>361</v>
      </c>
      <c r="K62" s="3" t="s">
        <v>343</v>
      </c>
      <c r="L62" s="3" t="s">
        <v>382</v>
      </c>
    </row>
    <row r="63" customFormat="false" ht="15" hidden="false" customHeight="false" outlineLevel="0" collapsed="false">
      <c r="A63" s="3" t="s">
        <v>476</v>
      </c>
      <c r="B63" s="0" t="n">
        <v>120000</v>
      </c>
      <c r="C63" s="3" t="s">
        <v>283</v>
      </c>
      <c r="D63" s="3" t="s">
        <v>285</v>
      </c>
      <c r="E63" s="3" t="s">
        <v>367</v>
      </c>
      <c r="F63" s="3" t="s">
        <v>340</v>
      </c>
      <c r="G63" s="3"/>
      <c r="H63" s="3" t="s">
        <v>416</v>
      </c>
      <c r="I63" s="3" t="s">
        <v>425</v>
      </c>
      <c r="K63" s="3" t="s">
        <v>414</v>
      </c>
      <c r="L63" s="3" t="s">
        <v>382</v>
      </c>
    </row>
    <row r="64" customFormat="false" ht="15" hidden="false" customHeight="false" outlineLevel="0" collapsed="false">
      <c r="A64" s="3" t="s">
        <v>477</v>
      </c>
      <c r="B64" s="0" t="n">
        <v>160000</v>
      </c>
      <c r="C64" s="3" t="s">
        <v>283</v>
      </c>
      <c r="D64" s="3" t="s">
        <v>285</v>
      </c>
      <c r="E64" s="3" t="s">
        <v>404</v>
      </c>
      <c r="F64" s="3" t="s">
        <v>340</v>
      </c>
      <c r="G64" s="3"/>
      <c r="H64" s="3" t="s">
        <v>478</v>
      </c>
      <c r="I64" s="3" t="s">
        <v>479</v>
      </c>
      <c r="K64" s="3" t="s">
        <v>343</v>
      </c>
      <c r="L64" s="3" t="s">
        <v>382</v>
      </c>
    </row>
    <row r="65" customFormat="false" ht="15" hidden="false" customHeight="false" outlineLevel="0" collapsed="false">
      <c r="A65" s="3" t="s">
        <v>480</v>
      </c>
      <c r="B65" s="0" t="n">
        <v>84000</v>
      </c>
      <c r="C65" s="3" t="s">
        <v>288</v>
      </c>
      <c r="D65" s="3" t="s">
        <v>290</v>
      </c>
      <c r="E65" s="3" t="s">
        <v>339</v>
      </c>
      <c r="F65" s="3" t="s">
        <v>340</v>
      </c>
      <c r="G65" s="3"/>
      <c r="H65" s="3" t="s">
        <v>481</v>
      </c>
      <c r="I65" s="3" t="s">
        <v>374</v>
      </c>
      <c r="K65" s="3" t="s">
        <v>343</v>
      </c>
      <c r="L65" s="3" t="s">
        <v>382</v>
      </c>
    </row>
    <row r="66" customFormat="false" ht="15" hidden="false" customHeight="false" outlineLevel="0" collapsed="false">
      <c r="A66" s="3" t="s">
        <v>482</v>
      </c>
      <c r="B66" s="0" t="n">
        <v>340000</v>
      </c>
      <c r="C66" s="3" t="s">
        <v>293</v>
      </c>
      <c r="D66" s="3" t="s">
        <v>295</v>
      </c>
      <c r="E66" s="3" t="s">
        <v>339</v>
      </c>
      <c r="F66" s="3" t="s">
        <v>340</v>
      </c>
      <c r="G66" s="3"/>
      <c r="H66" s="3" t="s">
        <v>483</v>
      </c>
      <c r="I66" s="3" t="s">
        <v>342</v>
      </c>
      <c r="K66" s="3" t="s">
        <v>343</v>
      </c>
      <c r="L66" s="3" t="s">
        <v>353</v>
      </c>
    </row>
    <row r="67" customFormat="false" ht="15" hidden="false" customHeight="false" outlineLevel="0" collapsed="false">
      <c r="A67" s="3" t="s">
        <v>484</v>
      </c>
      <c r="B67" s="0" t="n">
        <v>38000</v>
      </c>
      <c r="C67" s="3" t="s">
        <v>299</v>
      </c>
      <c r="D67" s="3" t="s">
        <v>167</v>
      </c>
      <c r="E67" s="3" t="s">
        <v>485</v>
      </c>
      <c r="F67" s="3" t="s">
        <v>340</v>
      </c>
      <c r="G67" s="3"/>
      <c r="H67" s="3" t="s">
        <v>301</v>
      </c>
      <c r="I67" s="3" t="s">
        <v>314</v>
      </c>
      <c r="K67" s="3" t="s">
        <v>343</v>
      </c>
      <c r="L67" s="3" t="s">
        <v>382</v>
      </c>
    </row>
    <row r="68" customFormat="false" ht="15" hidden="false" customHeight="false" outlineLevel="0" collapsed="false">
      <c r="A68" s="3" t="s">
        <v>486</v>
      </c>
      <c r="B68" s="0" t="n">
        <v>240000</v>
      </c>
      <c r="C68" s="3" t="s">
        <v>311</v>
      </c>
      <c r="D68" s="3" t="s">
        <v>144</v>
      </c>
      <c r="E68" s="3" t="s">
        <v>339</v>
      </c>
      <c r="F68" s="3" t="s">
        <v>340</v>
      </c>
      <c r="G68" s="3"/>
      <c r="H68" s="3" t="s">
        <v>487</v>
      </c>
      <c r="I68" s="3" t="s">
        <v>402</v>
      </c>
      <c r="K68" s="3" t="s">
        <v>343</v>
      </c>
      <c r="L68" s="3" t="s">
        <v>382</v>
      </c>
    </row>
    <row r="69" customFormat="false" ht="15" hidden="false" customHeight="false" outlineLevel="0" collapsed="false">
      <c r="A69" s="3" t="s">
        <v>488</v>
      </c>
      <c r="B69" s="0" t="n">
        <v>780000</v>
      </c>
      <c r="C69" s="3" t="s">
        <v>315</v>
      </c>
      <c r="D69" s="3" t="s">
        <v>317</v>
      </c>
      <c r="E69" s="3" t="s">
        <v>339</v>
      </c>
      <c r="F69" s="3" t="s">
        <v>340</v>
      </c>
      <c r="G69" s="3"/>
      <c r="H69" s="3" t="s">
        <v>451</v>
      </c>
      <c r="I69" s="3" t="s">
        <v>433</v>
      </c>
      <c r="K69" s="3" t="s">
        <v>343</v>
      </c>
      <c r="L69" s="3" t="s">
        <v>353</v>
      </c>
    </row>
    <row r="70" customFormat="false" ht="15" hidden="false" customHeight="false" outlineLevel="0" collapsed="false">
      <c r="A70" s="3" t="s">
        <v>489</v>
      </c>
      <c r="B70" s="0" t="n">
        <v>28000</v>
      </c>
      <c r="C70" s="3" t="s">
        <v>320</v>
      </c>
      <c r="D70" s="3" t="s">
        <v>322</v>
      </c>
      <c r="E70" s="3" t="s">
        <v>490</v>
      </c>
      <c r="F70" s="3" t="s">
        <v>340</v>
      </c>
      <c r="G70" s="3"/>
      <c r="H70" s="3" t="s">
        <v>323</v>
      </c>
      <c r="I70" s="3" t="s">
        <v>491</v>
      </c>
      <c r="K70" s="3" t="s">
        <v>343</v>
      </c>
      <c r="L70" s="3" t="s">
        <v>382</v>
      </c>
    </row>
    <row r="71" customFormat="false" ht="15" hidden="false" customHeight="false" outlineLevel="0" collapsed="false">
      <c r="A71" s="3" t="s">
        <v>492</v>
      </c>
      <c r="B71" s="0" t="n">
        <v>62000</v>
      </c>
      <c r="C71" s="3" t="s">
        <v>324</v>
      </c>
      <c r="D71" s="3" t="s">
        <v>326</v>
      </c>
      <c r="E71" s="3" t="s">
        <v>464</v>
      </c>
      <c r="F71" s="3" t="s">
        <v>340</v>
      </c>
      <c r="G71" s="3"/>
      <c r="H71" s="3" t="s">
        <v>360</v>
      </c>
      <c r="I71" s="3" t="s">
        <v>361</v>
      </c>
      <c r="K71" s="3" t="s">
        <v>343</v>
      </c>
      <c r="L71" s="3" t="s">
        <v>382</v>
      </c>
    </row>
    <row r="72" customFormat="false" ht="15" hidden="false" customHeight="false" outlineLevel="0" collapsed="false">
      <c r="A72" s="3" t="s">
        <v>493</v>
      </c>
      <c r="B72" s="0" t="n">
        <v>520000</v>
      </c>
      <c r="C72" s="3" t="s">
        <v>330</v>
      </c>
      <c r="D72" s="3" t="s">
        <v>332</v>
      </c>
      <c r="E72" s="3" t="s">
        <v>339</v>
      </c>
      <c r="F72" s="3" t="s">
        <v>340</v>
      </c>
      <c r="G72" s="3"/>
      <c r="H72" s="3" t="s">
        <v>494</v>
      </c>
      <c r="I72" s="3" t="s">
        <v>342</v>
      </c>
      <c r="K72" s="3" t="s">
        <v>343</v>
      </c>
      <c r="L72" s="3" t="s">
        <v>353</v>
      </c>
    </row>
    <row r="73" customFormat="false" ht="15" hidden="false" customHeight="false" outlineLevel="0" collapsed="false">
      <c r="A73" s="3" t="s">
        <v>495</v>
      </c>
      <c r="B73" s="0" t="n">
        <v>90000</v>
      </c>
      <c r="C73" s="3" t="s">
        <v>302</v>
      </c>
      <c r="D73" s="3" t="s">
        <v>304</v>
      </c>
      <c r="E73" s="3" t="s">
        <v>419</v>
      </c>
      <c r="F73" s="3" t="s">
        <v>340</v>
      </c>
      <c r="G73" s="3"/>
      <c r="H73" s="3" t="s">
        <v>496</v>
      </c>
      <c r="I73" s="3" t="s">
        <v>497</v>
      </c>
      <c r="K73" s="3" t="s">
        <v>111</v>
      </c>
      <c r="L73" s="3" t="s">
        <v>382</v>
      </c>
    </row>
    <row r="74" customFormat="false" ht="15" hidden="false" customHeight="false" outlineLevel="0" collapsed="false">
      <c r="A74" s="3" t="s">
        <v>498</v>
      </c>
      <c r="B74" s="0" t="n">
        <v>75000</v>
      </c>
      <c r="C74" s="3" t="s">
        <v>278</v>
      </c>
      <c r="D74" s="3" t="s">
        <v>280</v>
      </c>
      <c r="E74" s="3" t="s">
        <v>395</v>
      </c>
      <c r="F74" s="3" t="s">
        <v>340</v>
      </c>
      <c r="G74" s="3"/>
      <c r="H74" s="3" t="s">
        <v>499</v>
      </c>
      <c r="I74" s="3" t="s">
        <v>500</v>
      </c>
      <c r="K74" s="3" t="s">
        <v>111</v>
      </c>
      <c r="L74" s="3" t="s">
        <v>382</v>
      </c>
    </row>
    <row r="75" customFormat="false" ht="15" hidden="false" customHeight="false" outlineLevel="0" collapsed="false">
      <c r="A75" s="3" t="s">
        <v>501</v>
      </c>
      <c r="B75" s="0" t="n">
        <v>18000</v>
      </c>
      <c r="C75" s="3" t="s">
        <v>335</v>
      </c>
      <c r="D75" s="3" t="s">
        <v>246</v>
      </c>
      <c r="E75" s="3" t="s">
        <v>395</v>
      </c>
      <c r="F75" s="3" t="s">
        <v>340</v>
      </c>
      <c r="G75" s="3"/>
      <c r="H75" s="3" t="s">
        <v>454</v>
      </c>
      <c r="I75" s="3" t="s">
        <v>502</v>
      </c>
      <c r="K75" s="3" t="s">
        <v>111</v>
      </c>
      <c r="L75" s="3" t="s">
        <v>382</v>
      </c>
    </row>
    <row r="76" customFormat="false" ht="15" hidden="false" customHeight="false" outlineLevel="0" collapsed="false">
      <c r="A76" s="3" t="s">
        <v>503</v>
      </c>
      <c r="B76" s="0" t="n">
        <v>1033000</v>
      </c>
      <c r="C76" s="3" t="s">
        <v>96</v>
      </c>
      <c r="D76" s="3" t="s">
        <v>98</v>
      </c>
      <c r="E76" s="3" t="s">
        <v>339</v>
      </c>
      <c r="F76" s="3" t="s">
        <v>504</v>
      </c>
      <c r="G76" s="3" t="s">
        <v>338</v>
      </c>
      <c r="H76" s="3" t="s">
        <v>475</v>
      </c>
      <c r="I76" s="3" t="s">
        <v>342</v>
      </c>
      <c r="J76" s="0" t="n">
        <v>0</v>
      </c>
      <c r="K76" s="3" t="s">
        <v>343</v>
      </c>
      <c r="L76" s="3" t="s">
        <v>348</v>
      </c>
    </row>
    <row r="77" customFormat="false" ht="15" hidden="false" customHeight="false" outlineLevel="0" collapsed="false">
      <c r="A77" s="3" t="s">
        <v>505</v>
      </c>
      <c r="B77" s="0" t="n">
        <v>154000</v>
      </c>
      <c r="C77" s="3" t="s">
        <v>96</v>
      </c>
      <c r="D77" s="3" t="s">
        <v>98</v>
      </c>
      <c r="E77" s="3" t="s">
        <v>363</v>
      </c>
      <c r="F77" s="3" t="s">
        <v>504</v>
      </c>
      <c r="G77" s="3" t="s">
        <v>362</v>
      </c>
      <c r="H77" s="3" t="s">
        <v>506</v>
      </c>
      <c r="I77" s="3" t="s">
        <v>365</v>
      </c>
      <c r="J77" s="0" t="n">
        <v>0</v>
      </c>
      <c r="K77" s="3" t="s">
        <v>343</v>
      </c>
      <c r="L77" s="3" t="s">
        <v>382</v>
      </c>
    </row>
    <row r="78" customFormat="false" ht="15" hidden="false" customHeight="false" outlineLevel="0" collapsed="false">
      <c r="A78" s="3" t="s">
        <v>507</v>
      </c>
      <c r="B78" s="0" t="n">
        <v>110000</v>
      </c>
      <c r="C78" s="3" t="s">
        <v>115</v>
      </c>
      <c r="D78" s="3" t="s">
        <v>117</v>
      </c>
      <c r="E78" s="3" t="s">
        <v>339</v>
      </c>
      <c r="F78" s="3" t="s">
        <v>504</v>
      </c>
      <c r="G78" s="3" t="s">
        <v>372</v>
      </c>
      <c r="H78" s="3" t="s">
        <v>508</v>
      </c>
      <c r="I78" s="3" t="s">
        <v>374</v>
      </c>
      <c r="J78" s="0" t="n">
        <v>0</v>
      </c>
      <c r="K78" s="3" t="s">
        <v>343</v>
      </c>
      <c r="L78" s="3" t="s">
        <v>382</v>
      </c>
    </row>
    <row r="79" customFormat="false" ht="15" hidden="false" customHeight="false" outlineLevel="0" collapsed="false">
      <c r="A79" s="3" t="s">
        <v>509</v>
      </c>
      <c r="B79" s="0" t="n">
        <v>18000</v>
      </c>
      <c r="C79" s="3" t="s">
        <v>115</v>
      </c>
      <c r="D79" s="3" t="s">
        <v>117</v>
      </c>
      <c r="E79" s="3" t="s">
        <v>363</v>
      </c>
      <c r="F79" s="3" t="s">
        <v>504</v>
      </c>
      <c r="G79" s="3" t="s">
        <v>377</v>
      </c>
      <c r="H79" s="3" t="s">
        <v>510</v>
      </c>
      <c r="I79" s="3" t="s">
        <v>365</v>
      </c>
      <c r="J79" s="0" t="n">
        <v>0</v>
      </c>
      <c r="K79" s="3" t="s">
        <v>343</v>
      </c>
      <c r="L79" s="3" t="s">
        <v>382</v>
      </c>
    </row>
    <row r="80" customFormat="false" ht="15" hidden="false" customHeight="false" outlineLevel="0" collapsed="false">
      <c r="A80" s="3" t="s">
        <v>511</v>
      </c>
      <c r="B80" s="0" t="n">
        <v>7000</v>
      </c>
      <c r="C80" s="3" t="s">
        <v>121</v>
      </c>
      <c r="D80" s="3" t="s">
        <v>123</v>
      </c>
      <c r="E80" s="3" t="s">
        <v>339</v>
      </c>
      <c r="F80" s="3" t="s">
        <v>504</v>
      </c>
      <c r="G80" s="3" t="s">
        <v>379</v>
      </c>
      <c r="H80" s="3" t="s">
        <v>454</v>
      </c>
      <c r="I80" s="3" t="s">
        <v>374</v>
      </c>
      <c r="K80" s="3" t="s">
        <v>343</v>
      </c>
      <c r="L80" s="3" t="s">
        <v>382</v>
      </c>
    </row>
    <row r="81" customFormat="false" ht="15" hidden="false" customHeight="false" outlineLevel="0" collapsed="false">
      <c r="A81" s="3" t="s">
        <v>512</v>
      </c>
      <c r="B81" s="0" t="n">
        <v>2000</v>
      </c>
      <c r="C81" s="3" t="s">
        <v>121</v>
      </c>
      <c r="D81" s="3" t="s">
        <v>123</v>
      </c>
      <c r="E81" s="3" t="s">
        <v>363</v>
      </c>
      <c r="F81" s="3" t="s">
        <v>504</v>
      </c>
      <c r="G81" s="3" t="s">
        <v>380</v>
      </c>
      <c r="H81" s="3" t="s">
        <v>513</v>
      </c>
      <c r="I81" s="3" t="s">
        <v>365</v>
      </c>
      <c r="K81" s="3" t="s">
        <v>343</v>
      </c>
      <c r="L81" s="3" t="s">
        <v>382</v>
      </c>
    </row>
    <row r="82" customFormat="false" ht="15" hidden="false" customHeight="false" outlineLevel="0" collapsed="false">
      <c r="A82" s="3" t="s">
        <v>514</v>
      </c>
      <c r="B82" s="0" t="n">
        <v>68000</v>
      </c>
      <c r="C82" s="3" t="s">
        <v>128</v>
      </c>
      <c r="D82" s="3" t="s">
        <v>130</v>
      </c>
      <c r="E82" s="3" t="s">
        <v>339</v>
      </c>
      <c r="F82" s="3" t="s">
        <v>504</v>
      </c>
      <c r="G82" s="3" t="s">
        <v>383</v>
      </c>
      <c r="H82" s="3" t="s">
        <v>454</v>
      </c>
      <c r="I82" s="3" t="s">
        <v>374</v>
      </c>
      <c r="K82" s="3" t="s">
        <v>343</v>
      </c>
      <c r="L82" s="3" t="s">
        <v>382</v>
      </c>
    </row>
    <row r="83" customFormat="false" ht="15" hidden="false" customHeight="false" outlineLevel="0" collapsed="false">
      <c r="A83" s="3" t="s">
        <v>515</v>
      </c>
      <c r="B83" s="0" t="n">
        <v>5000</v>
      </c>
      <c r="C83" s="3" t="s">
        <v>135</v>
      </c>
      <c r="D83" s="3" t="s">
        <v>137</v>
      </c>
      <c r="E83" s="3" t="s">
        <v>387</v>
      </c>
      <c r="F83" s="3" t="s">
        <v>504</v>
      </c>
      <c r="G83" s="3" t="s">
        <v>386</v>
      </c>
      <c r="H83" s="3" t="s">
        <v>393</v>
      </c>
      <c r="I83" s="3" t="s">
        <v>342</v>
      </c>
      <c r="K83" s="3" t="s">
        <v>343</v>
      </c>
      <c r="L83" s="3" t="s">
        <v>382</v>
      </c>
    </row>
    <row r="84" customFormat="false" ht="15" hidden="false" customHeight="false" outlineLevel="0" collapsed="false">
      <c r="A84" s="3" t="s">
        <v>516</v>
      </c>
      <c r="B84" s="0" t="n">
        <v>2000</v>
      </c>
      <c r="C84" s="3" t="s">
        <v>135</v>
      </c>
      <c r="D84" s="3" t="s">
        <v>137</v>
      </c>
      <c r="E84" s="3" t="s">
        <v>363</v>
      </c>
      <c r="F84" s="3" t="s">
        <v>504</v>
      </c>
      <c r="G84" s="3" t="s">
        <v>389</v>
      </c>
      <c r="H84" s="3" t="s">
        <v>517</v>
      </c>
      <c r="I84" s="3" t="s">
        <v>365</v>
      </c>
      <c r="K84" s="3" t="s">
        <v>343</v>
      </c>
      <c r="L84" s="3" t="s">
        <v>382</v>
      </c>
    </row>
    <row r="85" customFormat="false" ht="15" hidden="false" customHeight="false" outlineLevel="0" collapsed="false">
      <c r="A85" s="3" t="s">
        <v>518</v>
      </c>
      <c r="B85" s="0" t="n">
        <v>6000</v>
      </c>
      <c r="C85" s="3" t="s">
        <v>142</v>
      </c>
      <c r="D85" s="3" t="s">
        <v>144</v>
      </c>
      <c r="E85" s="3" t="s">
        <v>339</v>
      </c>
      <c r="F85" s="3" t="s">
        <v>504</v>
      </c>
      <c r="G85" s="3" t="s">
        <v>392</v>
      </c>
      <c r="H85" s="3" t="s">
        <v>519</v>
      </c>
      <c r="I85" s="3" t="s">
        <v>342</v>
      </c>
      <c r="K85" s="3" t="s">
        <v>343</v>
      </c>
      <c r="L85" s="3" t="s">
        <v>382</v>
      </c>
    </row>
    <row r="86" customFormat="false" ht="15" hidden="false" customHeight="false" outlineLevel="0" collapsed="false">
      <c r="A86" s="3" t="s">
        <v>520</v>
      </c>
      <c r="B86" s="0" t="n">
        <v>85000</v>
      </c>
      <c r="C86" s="3" t="s">
        <v>149</v>
      </c>
      <c r="D86" s="3" t="s">
        <v>151</v>
      </c>
      <c r="E86" s="3" t="s">
        <v>395</v>
      </c>
      <c r="F86" s="3" t="s">
        <v>504</v>
      </c>
      <c r="G86" s="3" t="s">
        <v>394</v>
      </c>
      <c r="H86" s="3" t="s">
        <v>521</v>
      </c>
      <c r="I86" s="3" t="s">
        <v>342</v>
      </c>
      <c r="K86" s="3" t="s">
        <v>343</v>
      </c>
      <c r="L86" s="3" t="s">
        <v>382</v>
      </c>
    </row>
    <row r="87" customFormat="false" ht="15" hidden="false" customHeight="false" outlineLevel="0" collapsed="false">
      <c r="A87" s="3" t="s">
        <v>522</v>
      </c>
      <c r="B87" s="0" t="n">
        <v>20000</v>
      </c>
      <c r="C87" s="3" t="s">
        <v>149</v>
      </c>
      <c r="D87" s="3" t="s">
        <v>151</v>
      </c>
      <c r="E87" s="3" t="s">
        <v>363</v>
      </c>
      <c r="F87" s="3" t="s">
        <v>504</v>
      </c>
      <c r="G87" s="3" t="s">
        <v>399</v>
      </c>
      <c r="H87" s="3" t="s">
        <v>523</v>
      </c>
      <c r="I87" s="3" t="s">
        <v>365</v>
      </c>
      <c r="K87" s="3" t="s">
        <v>343</v>
      </c>
      <c r="L87" s="3" t="s">
        <v>382</v>
      </c>
    </row>
    <row r="88" customFormat="false" ht="15" hidden="false" customHeight="false" outlineLevel="0" collapsed="false">
      <c r="A88" s="3" t="s">
        <v>524</v>
      </c>
      <c r="B88" s="0" t="n">
        <v>1000</v>
      </c>
      <c r="C88" s="3" t="s">
        <v>149</v>
      </c>
      <c r="D88" s="3" t="s">
        <v>151</v>
      </c>
      <c r="E88" s="3" t="s">
        <v>401</v>
      </c>
      <c r="F88" s="3" t="s">
        <v>504</v>
      </c>
      <c r="G88" s="3" t="s">
        <v>400</v>
      </c>
      <c r="H88" s="3" t="s">
        <v>510</v>
      </c>
      <c r="I88" s="3" t="s">
        <v>402</v>
      </c>
      <c r="K88" s="3" t="s">
        <v>343</v>
      </c>
      <c r="L88" s="3" t="s">
        <v>382</v>
      </c>
    </row>
    <row r="89" customFormat="false" ht="15" hidden="false" customHeight="false" outlineLevel="0" collapsed="false">
      <c r="A89" s="3" t="s">
        <v>525</v>
      </c>
      <c r="B89" s="0" t="n">
        <v>44000</v>
      </c>
      <c r="C89" s="3" t="s">
        <v>157</v>
      </c>
      <c r="D89" s="3" t="s">
        <v>159</v>
      </c>
      <c r="E89" s="3" t="s">
        <v>404</v>
      </c>
      <c r="F89" s="3" t="s">
        <v>504</v>
      </c>
      <c r="G89" s="3" t="s">
        <v>403</v>
      </c>
      <c r="H89" s="3" t="s">
        <v>526</v>
      </c>
      <c r="I89" s="3" t="s">
        <v>406</v>
      </c>
      <c r="K89" s="3" t="s">
        <v>343</v>
      </c>
      <c r="L89" s="3" t="s">
        <v>382</v>
      </c>
    </row>
    <row r="90" customFormat="false" ht="15" hidden="false" customHeight="false" outlineLevel="0" collapsed="false">
      <c r="A90" s="3" t="s">
        <v>527</v>
      </c>
      <c r="B90" s="0" t="n">
        <v>10000</v>
      </c>
      <c r="C90" s="3" t="s">
        <v>306</v>
      </c>
      <c r="D90" s="3" t="s">
        <v>159</v>
      </c>
      <c r="E90" s="3" t="s">
        <v>404</v>
      </c>
      <c r="F90" s="3" t="s">
        <v>504</v>
      </c>
      <c r="G90" s="3" t="s">
        <v>408</v>
      </c>
      <c r="H90" s="3" t="s">
        <v>528</v>
      </c>
      <c r="I90" s="3" t="s">
        <v>171</v>
      </c>
      <c r="K90" s="3" t="s">
        <v>343</v>
      </c>
      <c r="L90" s="3" t="s">
        <v>382</v>
      </c>
    </row>
    <row r="91" customFormat="false" ht="15" hidden="false" customHeight="false" outlineLevel="0" collapsed="false">
      <c r="A91" s="3" t="s">
        <v>529</v>
      </c>
      <c r="B91" s="0" t="n">
        <v>23000</v>
      </c>
      <c r="C91" s="3" t="s">
        <v>165</v>
      </c>
      <c r="D91" s="3" t="s">
        <v>167</v>
      </c>
      <c r="E91" s="3" t="s">
        <v>339</v>
      </c>
      <c r="F91" s="3" t="s">
        <v>504</v>
      </c>
      <c r="G91" s="3" t="s">
        <v>410</v>
      </c>
      <c r="H91" s="3" t="s">
        <v>530</v>
      </c>
      <c r="I91" s="3" t="s">
        <v>342</v>
      </c>
      <c r="K91" s="3" t="s">
        <v>343</v>
      </c>
      <c r="L91" s="3" t="s">
        <v>382</v>
      </c>
    </row>
    <row r="92" customFormat="false" ht="15" hidden="false" customHeight="false" outlineLevel="0" collapsed="false">
      <c r="A92" s="3" t="s">
        <v>531</v>
      </c>
      <c r="B92" s="0" t="n">
        <v>3000</v>
      </c>
      <c r="C92" s="3" t="s">
        <v>165</v>
      </c>
      <c r="D92" s="3" t="s">
        <v>167</v>
      </c>
      <c r="E92" s="3" t="s">
        <v>404</v>
      </c>
      <c r="F92" s="3" t="s">
        <v>504</v>
      </c>
      <c r="G92" s="3" t="s">
        <v>412</v>
      </c>
      <c r="H92" s="3" t="s">
        <v>532</v>
      </c>
      <c r="I92" s="3" t="s">
        <v>413</v>
      </c>
      <c r="K92" s="3" t="s">
        <v>414</v>
      </c>
      <c r="L92" s="3" t="s">
        <v>382</v>
      </c>
    </row>
    <row r="93" customFormat="false" ht="15" hidden="false" customHeight="false" outlineLevel="0" collapsed="false">
      <c r="A93" s="3" t="s">
        <v>533</v>
      </c>
      <c r="B93" s="0" t="n">
        <v>7000</v>
      </c>
      <c r="C93" s="3" t="s">
        <v>165</v>
      </c>
      <c r="D93" s="3" t="s">
        <v>167</v>
      </c>
      <c r="E93" s="3" t="s">
        <v>404</v>
      </c>
      <c r="F93" s="3" t="s">
        <v>504</v>
      </c>
      <c r="G93" s="3" t="s">
        <v>415</v>
      </c>
      <c r="H93" s="3" t="s">
        <v>534</v>
      </c>
      <c r="I93" s="3" t="s">
        <v>417</v>
      </c>
      <c r="K93" s="3" t="s">
        <v>343</v>
      </c>
      <c r="L93" s="3" t="s">
        <v>382</v>
      </c>
    </row>
    <row r="94" customFormat="false" ht="15" hidden="false" customHeight="false" outlineLevel="0" collapsed="false">
      <c r="A94" s="3" t="s">
        <v>535</v>
      </c>
      <c r="B94" s="0" t="n">
        <v>3000</v>
      </c>
      <c r="C94" s="3" t="s">
        <v>165</v>
      </c>
      <c r="D94" s="3" t="s">
        <v>167</v>
      </c>
      <c r="E94" s="3" t="s">
        <v>419</v>
      </c>
      <c r="F94" s="3" t="s">
        <v>504</v>
      </c>
      <c r="G94" s="3" t="s">
        <v>418</v>
      </c>
      <c r="H94" s="3" t="s">
        <v>536</v>
      </c>
      <c r="I94" s="3" t="s">
        <v>361</v>
      </c>
      <c r="K94" s="3" t="s">
        <v>343</v>
      </c>
      <c r="L94" s="3" t="s">
        <v>382</v>
      </c>
    </row>
    <row r="95" customFormat="false" ht="15" hidden="false" customHeight="false" outlineLevel="0" collapsed="false">
      <c r="A95" s="3" t="s">
        <v>537</v>
      </c>
      <c r="B95" s="0" t="n">
        <v>5000</v>
      </c>
      <c r="C95" s="3" t="s">
        <v>173</v>
      </c>
      <c r="D95" s="3" t="s">
        <v>175</v>
      </c>
      <c r="E95" s="3" t="s">
        <v>419</v>
      </c>
      <c r="F95" s="3" t="s">
        <v>504</v>
      </c>
      <c r="G95" s="3" t="s">
        <v>421</v>
      </c>
      <c r="H95" s="3" t="s">
        <v>538</v>
      </c>
      <c r="I95" s="3" t="s">
        <v>361</v>
      </c>
      <c r="K95" s="3" t="s">
        <v>343</v>
      </c>
      <c r="L95" s="3" t="s">
        <v>382</v>
      </c>
    </row>
    <row r="96" customFormat="false" ht="15" hidden="false" customHeight="false" outlineLevel="0" collapsed="false">
      <c r="A96" s="3" t="s">
        <v>539</v>
      </c>
      <c r="B96" s="0" t="n">
        <v>1000</v>
      </c>
      <c r="C96" s="3" t="s">
        <v>173</v>
      </c>
      <c r="D96" s="3" t="s">
        <v>175</v>
      </c>
      <c r="E96" s="3" t="s">
        <v>404</v>
      </c>
      <c r="F96" s="3" t="s">
        <v>504</v>
      </c>
      <c r="G96" s="3" t="s">
        <v>423</v>
      </c>
      <c r="H96" s="3" t="s">
        <v>445</v>
      </c>
      <c r="I96" s="3" t="s">
        <v>425</v>
      </c>
      <c r="K96" s="3" t="s">
        <v>414</v>
      </c>
      <c r="L96" s="3" t="s">
        <v>382</v>
      </c>
    </row>
    <row r="97" customFormat="false" ht="15" hidden="false" customHeight="false" outlineLevel="0" collapsed="false">
      <c r="A97" s="3" t="s">
        <v>540</v>
      </c>
      <c r="B97" s="0" t="n">
        <v>41000</v>
      </c>
      <c r="C97" s="3" t="s">
        <v>179</v>
      </c>
      <c r="D97" s="3" t="s">
        <v>181</v>
      </c>
      <c r="E97" s="3" t="s">
        <v>419</v>
      </c>
      <c r="F97" s="3" t="s">
        <v>504</v>
      </c>
      <c r="G97" s="3" t="s">
        <v>426</v>
      </c>
      <c r="H97" s="3" t="s">
        <v>273</v>
      </c>
      <c r="I97" s="3" t="s">
        <v>361</v>
      </c>
      <c r="K97" s="3" t="s">
        <v>343</v>
      </c>
      <c r="L97" s="3" t="s">
        <v>382</v>
      </c>
    </row>
    <row r="98" customFormat="false" ht="15" hidden="false" customHeight="false" outlineLevel="0" collapsed="false">
      <c r="A98" s="3" t="s">
        <v>541</v>
      </c>
      <c r="B98" s="0" t="n">
        <v>15000</v>
      </c>
      <c r="C98" s="3" t="s">
        <v>179</v>
      </c>
      <c r="D98" s="3" t="s">
        <v>181</v>
      </c>
      <c r="E98" s="3" t="s">
        <v>430</v>
      </c>
      <c r="F98" s="3" t="s">
        <v>504</v>
      </c>
      <c r="G98" s="3" t="s">
        <v>429</v>
      </c>
      <c r="H98" s="3" t="s">
        <v>542</v>
      </c>
      <c r="I98" s="3" t="s">
        <v>361</v>
      </c>
      <c r="K98" s="3" t="s">
        <v>343</v>
      </c>
      <c r="L98" s="3" t="s">
        <v>382</v>
      </c>
    </row>
    <row r="99" customFormat="false" ht="15" hidden="false" customHeight="false" outlineLevel="0" collapsed="false">
      <c r="A99" s="3" t="s">
        <v>543</v>
      </c>
      <c r="B99" s="0" t="n">
        <v>5000</v>
      </c>
      <c r="C99" s="3" t="s">
        <v>185</v>
      </c>
      <c r="D99" s="3" t="s">
        <v>187</v>
      </c>
      <c r="E99" s="3" t="s">
        <v>432</v>
      </c>
      <c r="F99" s="3" t="s">
        <v>504</v>
      </c>
      <c r="G99" s="3" t="s">
        <v>431</v>
      </c>
      <c r="H99" s="3" t="s">
        <v>544</v>
      </c>
      <c r="I99" s="3" t="s">
        <v>433</v>
      </c>
      <c r="K99" s="3" t="s">
        <v>343</v>
      </c>
      <c r="L99" s="3" t="s">
        <v>382</v>
      </c>
    </row>
    <row r="100" customFormat="false" ht="15" hidden="false" customHeight="false" outlineLevel="0" collapsed="false">
      <c r="A100" s="3" t="s">
        <v>545</v>
      </c>
      <c r="B100" s="0" t="n">
        <v>4000</v>
      </c>
      <c r="C100" s="3" t="s">
        <v>185</v>
      </c>
      <c r="D100" s="3" t="s">
        <v>187</v>
      </c>
      <c r="E100" s="3" t="s">
        <v>430</v>
      </c>
      <c r="F100" s="3" t="s">
        <v>504</v>
      </c>
      <c r="G100" s="3" t="s">
        <v>434</v>
      </c>
      <c r="H100" s="3" t="s">
        <v>473</v>
      </c>
      <c r="I100" s="3" t="s">
        <v>361</v>
      </c>
      <c r="K100" s="3" t="s">
        <v>343</v>
      </c>
      <c r="L100" s="3" t="s">
        <v>382</v>
      </c>
    </row>
    <row r="101" customFormat="false" ht="15" hidden="false" customHeight="false" outlineLevel="0" collapsed="false">
      <c r="A101" s="3" t="s">
        <v>546</v>
      </c>
      <c r="B101" s="0" t="n">
        <v>47000</v>
      </c>
      <c r="C101" s="3" t="s">
        <v>191</v>
      </c>
      <c r="D101" s="3" t="s">
        <v>193</v>
      </c>
      <c r="E101" s="3" t="s">
        <v>395</v>
      </c>
      <c r="F101" s="3" t="s">
        <v>504</v>
      </c>
      <c r="G101" s="3" t="s">
        <v>436</v>
      </c>
      <c r="H101" s="3" t="s">
        <v>547</v>
      </c>
      <c r="I101" s="3" t="s">
        <v>438</v>
      </c>
      <c r="K101" s="3" t="s">
        <v>414</v>
      </c>
      <c r="L101" s="3" t="s">
        <v>382</v>
      </c>
    </row>
    <row r="102" customFormat="false" ht="15" hidden="false" customHeight="false" outlineLevel="0" collapsed="false">
      <c r="A102" s="3" t="s">
        <v>548</v>
      </c>
      <c r="B102" s="0" t="n">
        <v>17000</v>
      </c>
      <c r="C102" s="3" t="s">
        <v>191</v>
      </c>
      <c r="D102" s="3" t="s">
        <v>193</v>
      </c>
      <c r="E102" s="3" t="s">
        <v>401</v>
      </c>
      <c r="F102" s="3" t="s">
        <v>504</v>
      </c>
      <c r="G102" s="3" t="s">
        <v>439</v>
      </c>
      <c r="H102" s="3" t="s">
        <v>549</v>
      </c>
      <c r="I102" s="3" t="s">
        <v>402</v>
      </c>
      <c r="K102" s="3" t="s">
        <v>343</v>
      </c>
      <c r="L102" s="3" t="s">
        <v>382</v>
      </c>
    </row>
    <row r="103" customFormat="false" ht="15" hidden="false" customHeight="false" outlineLevel="0" collapsed="false">
      <c r="A103" s="3" t="s">
        <v>550</v>
      </c>
      <c r="B103" s="0" t="n">
        <v>4000</v>
      </c>
      <c r="C103" s="3" t="s">
        <v>191</v>
      </c>
      <c r="D103" s="3" t="s">
        <v>193</v>
      </c>
      <c r="E103" s="3" t="s">
        <v>442</v>
      </c>
      <c r="F103" s="3" t="s">
        <v>504</v>
      </c>
      <c r="G103" s="3" t="s">
        <v>441</v>
      </c>
      <c r="H103" s="3" t="s">
        <v>551</v>
      </c>
      <c r="I103" s="3" t="s">
        <v>433</v>
      </c>
      <c r="K103" s="3" t="s">
        <v>343</v>
      </c>
      <c r="L103" s="3" t="s">
        <v>382</v>
      </c>
    </row>
    <row r="104" customFormat="false" ht="15" hidden="false" customHeight="false" outlineLevel="0" collapsed="false">
      <c r="A104" s="3" t="s">
        <v>552</v>
      </c>
      <c r="B104" s="0" t="n">
        <v>51000</v>
      </c>
      <c r="C104" s="3" t="s">
        <v>191</v>
      </c>
      <c r="D104" s="3" t="s">
        <v>193</v>
      </c>
      <c r="E104" s="3" t="s">
        <v>444</v>
      </c>
      <c r="F104" s="3" t="s">
        <v>504</v>
      </c>
      <c r="G104" s="3" t="s">
        <v>443</v>
      </c>
      <c r="H104" s="3" t="s">
        <v>553</v>
      </c>
      <c r="I104" s="3" t="s">
        <v>406</v>
      </c>
      <c r="K104" s="3" t="s">
        <v>343</v>
      </c>
      <c r="L104" s="3" t="s">
        <v>382</v>
      </c>
    </row>
    <row r="105" customFormat="false" ht="15" hidden="false" customHeight="false" outlineLevel="0" collapsed="false">
      <c r="A105" s="3" t="s">
        <v>554</v>
      </c>
      <c r="B105" s="0" t="n">
        <v>3000</v>
      </c>
      <c r="C105" s="3" t="s">
        <v>198</v>
      </c>
      <c r="D105" s="3" t="s">
        <v>193</v>
      </c>
      <c r="E105" s="3" t="s">
        <v>447</v>
      </c>
      <c r="F105" s="3" t="s">
        <v>504</v>
      </c>
      <c r="G105" s="3" t="s">
        <v>446</v>
      </c>
      <c r="H105" s="3" t="s">
        <v>323</v>
      </c>
      <c r="I105" s="3" t="s">
        <v>433</v>
      </c>
      <c r="K105" s="3" t="s">
        <v>343</v>
      </c>
      <c r="L105" s="3" t="s">
        <v>382</v>
      </c>
    </row>
    <row r="106" customFormat="false" ht="15" hidden="false" customHeight="false" outlineLevel="0" collapsed="false">
      <c r="A106" s="3" t="s">
        <v>555</v>
      </c>
      <c r="B106" s="0" t="n">
        <v>17000</v>
      </c>
      <c r="C106" s="3" t="s">
        <v>205</v>
      </c>
      <c r="D106" s="3" t="s">
        <v>207</v>
      </c>
      <c r="E106" s="3" t="s">
        <v>395</v>
      </c>
      <c r="F106" s="3" t="s">
        <v>504</v>
      </c>
      <c r="G106" s="3" t="s">
        <v>448</v>
      </c>
      <c r="H106" s="3" t="s">
        <v>556</v>
      </c>
      <c r="I106" s="3" t="s">
        <v>417</v>
      </c>
      <c r="K106" s="3" t="s">
        <v>343</v>
      </c>
      <c r="L106" s="3" t="s">
        <v>382</v>
      </c>
    </row>
    <row r="107" customFormat="false" ht="15" hidden="false" customHeight="false" outlineLevel="0" collapsed="false">
      <c r="A107" s="3" t="s">
        <v>557</v>
      </c>
      <c r="B107" s="0" t="n">
        <v>1000</v>
      </c>
      <c r="C107" s="3" t="s">
        <v>205</v>
      </c>
      <c r="D107" s="3" t="s">
        <v>207</v>
      </c>
      <c r="E107" s="3" t="s">
        <v>363</v>
      </c>
      <c r="F107" s="3" t="s">
        <v>504</v>
      </c>
      <c r="G107" s="3" t="s">
        <v>449</v>
      </c>
      <c r="H107" s="3" t="s">
        <v>558</v>
      </c>
      <c r="I107" s="3" t="s">
        <v>402</v>
      </c>
      <c r="K107" s="3" t="s">
        <v>343</v>
      </c>
      <c r="L107" s="3" t="s">
        <v>382</v>
      </c>
    </row>
    <row r="108" customFormat="false" ht="15" hidden="false" customHeight="false" outlineLevel="0" collapsed="false">
      <c r="A108" s="3" t="s">
        <v>559</v>
      </c>
      <c r="B108" s="0" t="n">
        <v>4000</v>
      </c>
      <c r="C108" s="3" t="s">
        <v>205</v>
      </c>
      <c r="D108" s="3" t="s">
        <v>207</v>
      </c>
      <c r="E108" s="3" t="s">
        <v>444</v>
      </c>
      <c r="F108" s="3" t="s">
        <v>504</v>
      </c>
      <c r="G108" s="3" t="s">
        <v>450</v>
      </c>
      <c r="H108" s="3" t="s">
        <v>560</v>
      </c>
      <c r="I108" s="3" t="s">
        <v>452</v>
      </c>
      <c r="K108" s="3" t="s">
        <v>343</v>
      </c>
      <c r="L108" s="3" t="s">
        <v>382</v>
      </c>
    </row>
    <row r="109" customFormat="false" ht="15" hidden="false" customHeight="false" outlineLevel="0" collapsed="false">
      <c r="A109" s="3" t="s">
        <v>561</v>
      </c>
      <c r="B109" s="0" t="n">
        <v>10000</v>
      </c>
      <c r="C109" s="3" t="s">
        <v>212</v>
      </c>
      <c r="D109" s="3" t="s">
        <v>214</v>
      </c>
      <c r="E109" s="3" t="s">
        <v>395</v>
      </c>
      <c r="F109" s="3" t="s">
        <v>504</v>
      </c>
      <c r="G109" s="3" t="s">
        <v>453</v>
      </c>
      <c r="H109" s="3" t="s">
        <v>562</v>
      </c>
      <c r="I109" s="3" t="s">
        <v>342</v>
      </c>
      <c r="K109" s="3" t="s">
        <v>343</v>
      </c>
      <c r="L109" s="3" t="s">
        <v>382</v>
      </c>
    </row>
    <row r="110" customFormat="false" ht="15" hidden="false" customHeight="false" outlineLevel="0" collapsed="false">
      <c r="A110" s="3" t="s">
        <v>563</v>
      </c>
      <c r="B110" s="0" t="n">
        <v>3000</v>
      </c>
      <c r="C110" s="3" t="s">
        <v>212</v>
      </c>
      <c r="D110" s="3" t="s">
        <v>214</v>
      </c>
      <c r="E110" s="3" t="s">
        <v>444</v>
      </c>
      <c r="F110" s="3" t="s">
        <v>504</v>
      </c>
      <c r="G110" s="3" t="s">
        <v>455</v>
      </c>
      <c r="H110" s="3" t="s">
        <v>564</v>
      </c>
      <c r="I110" s="3" t="s">
        <v>402</v>
      </c>
      <c r="K110" s="3" t="s">
        <v>343</v>
      </c>
      <c r="L110" s="3" t="s">
        <v>382</v>
      </c>
    </row>
    <row r="111" customFormat="false" ht="15" hidden="false" customHeight="false" outlineLevel="0" collapsed="false">
      <c r="A111" s="3" t="s">
        <v>565</v>
      </c>
      <c r="B111" s="0" t="n">
        <v>4000</v>
      </c>
      <c r="C111" s="3" t="s">
        <v>219</v>
      </c>
      <c r="D111" s="3" t="s">
        <v>221</v>
      </c>
      <c r="E111" s="3" t="s">
        <v>387</v>
      </c>
      <c r="F111" s="3" t="s">
        <v>504</v>
      </c>
      <c r="G111" s="3" t="s">
        <v>457</v>
      </c>
      <c r="H111" s="3" t="s">
        <v>566</v>
      </c>
      <c r="I111" s="3" t="s">
        <v>361</v>
      </c>
      <c r="K111" s="3" t="s">
        <v>343</v>
      </c>
      <c r="L111" s="3" t="s">
        <v>382</v>
      </c>
    </row>
  </sheetData>
  <autoFilter ref="A1:L11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2026-09-27T08:07:00Z</dcterms:created>
  <dc:creator>openpyxl</dc:creator>
  <dc:description/>
  <dc:language>en-US</dc:language>
  <cp:lastModifiedBy/>
  <dcterms:modified xsi:type="dcterms:W3CDTF">2026-09-27T08:07:00Z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