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1'!$A$1:$G$31</definedName>
    <definedName function="false" hidden="false" localSheetId="3" name="_xlnm.Print_Titles" vbProcedure="false">'Data 1'!$1:$1</definedName>
    <definedName function="false" hidden="true" localSheetId="3" name="_xlnm._FilterDatabase" vbProcedure="false">'Data 1'!$A$1:$G$211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<sst xmlns="http://schemas.openxmlformats.org/spreadsheetml/2006/main" count="1133" uniqueCount="620">
  <si>
    <t xml:space="preserve">Production adjustment register</t>
  </si>
  <si>
    <t xml:space="preserve">Mesa Lantern Energy LLC</t>
  </si>
  <si>
    <t xml:space="preserve">Effective date</t>
  </si>
  <si>
    <t xml:space="preserve">2026-09-26</t>
  </si>
  <si>
    <t xml:space="preserve">Purpose</t>
  </si>
  <si>
    <t xml:space="preserve">A selected register of corrections to daily production entries.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</si>
  <si>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</si>
  <si>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</si>
  <si>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</si>
  <si>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</si>
  <si>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</si>
  <si>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A selected register of corrections to daily production entries. This draft is prepared for close reviewers as part of Mesa Lantern Energy's initial information handoff. It describes the modeled operation at the stated date and should be read with the period and coverage of its supporting records.</t>
  </si>
  <si>
    <t xml:space="preserve">Purpose and immediate use</t>
  </si>
  <si>
    <t xml:space="preserve">Each row preserves the original and revised value, the affected stream, a posting date, and a correction reason. Join to the daily record before applying a change. A correction after close belongs in a restatement view and should not silently alter the frozen month.</t>
  </si>
  <si>
    <t xml:space="preserve">Adjustment lineage</t>
  </si>
  <si>
    <t xml:space="preserve">A production adjustment points back to the original daily record, names the stream being corrected, and keeps both original and revised values with a posting date and reason. Adjustments posted after the monthly freeze belong to a restatement view. Analysts should not add both the original and revised quantity when preparing a summary; they should select a declared version of the record.</t>
  </si>
  <si>
    <t xml:space="preserve">Monthly close boundary</t>
  </si>
  <si>
    <t xml:space="preserve">Production Accounting freezes the monthly reporting snapshot on the tenth business day after month end. Changes after that point use a dated adjustment record rather than overwriting the frozen view. A reader comparing two months must therefore distinguish the original close from a later restatement view. The reporting period and extraction date are both necessary to interpret a number.</t>
  </si>
  <si>
    <t xml:space="preserve">Record question for review</t>
  </si>
  <si>
    <t xml:space="preserve">Use the daily record key to find the observation being corrected, then compare original and revised stream values. The workbook does not apply the correction automatically to the production tab. That choice belongs to a declared snapshot or restatement view.</t>
  </si>
  <si>
    <t xml:space="preserve">Review action and handoff</t>
  </si>
  <si>
    <t xml:space="preserve">The numeric summary is descriptive of adjustment rows and is not a net production revision unless stream, units, sign, version, and duplicate handling are applied explicitly.</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</si>
  <si>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</si>
  <si>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</si>
  <si>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</si>
  <si>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</si>
  <si>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</si>
  <si>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</si>
  <si>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</si>
  <si>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</si>
  <si>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Production Adjustments</t>
  </si>
  <si>
    <t xml:space="preserve">original_value</t>
  </si>
  <si>
    <t xml:space="preserve">stream unit</t>
  </si>
  <si>
    <t xml:space="preserve">2026-01-01</t>
  </si>
  <si>
    <t xml:space="preserve">2026-08-31</t>
  </si>
  <si>
    <t xml:space="preserve">revised_value</t>
  </si>
  <si>
    <t xml:space="preserve">Field</t>
  </si>
  <si>
    <t xml:space="preserve">Definition</t>
  </si>
  <si>
    <t xml:space="preserve">Type</t>
  </si>
  <si>
    <t xml:space="preserve">Reference</t>
  </si>
  <si>
    <t xml:space="preserve">adjustment_id</t>
  </si>
  <si>
    <t xml:space="preserve">Unique adjustment</t>
  </si>
  <si>
    <t xml:space="preserve">id</t>
  </si>
  <si>
    <t xml:space="preserve">record_id</t>
  </si>
  <si>
    <t xml:space="preserve">Daily production record key</t>
  </si>
  <si>
    <t xml:space="preserve">category</t>
  </si>
  <si>
    <t xml:space="preserve">adjustment_date</t>
  </si>
  <si>
    <t xml:space="preserve">Date posted</t>
  </si>
  <si>
    <t xml:space="preserve">date</t>
  </si>
  <si>
    <t xml:space="preserve">stream</t>
  </si>
  <si>
    <t xml:space="preserve">Corrected stream</t>
  </si>
  <si>
    <t xml:space="preserve">Original value</t>
  </si>
  <si>
    <t xml:space="preserve">number</t>
  </si>
  <si>
    <t xml:space="preserve">Accepted replacement</t>
  </si>
  <si>
    <t xml:space="preserve">reason</t>
  </si>
  <si>
    <t xml:space="preserve">Correction reason</t>
  </si>
  <si>
    <t xml:space="preserve">adjustments-000001</t>
  </si>
  <si>
    <t xml:space="preserve">production-007757</t>
  </si>
  <si>
    <t xml:space="preserve">2026-06-17</t>
  </si>
  <si>
    <t xml:space="preserve">oil_bbl</t>
  </si>
  <si>
    <t xml:space="preserve">meter_check</t>
  </si>
  <si>
    <t xml:space="preserve">adjustments-000002</t>
  </si>
  <si>
    <t xml:space="preserve">production-002894</t>
  </si>
  <si>
    <t xml:space="preserve">2026-08-25</t>
  </si>
  <si>
    <t xml:space="preserve">raw_gas_mcf</t>
  </si>
  <si>
    <t xml:space="preserve">adjustments-000003</t>
  </si>
  <si>
    <t xml:space="preserve">production-007053</t>
  </si>
  <si>
    <t xml:space="preserve">allocation_revision</t>
  </si>
  <si>
    <t xml:space="preserve">adjustments-000004</t>
  </si>
  <si>
    <t xml:space="preserve">production-003640</t>
  </si>
  <si>
    <t xml:space="preserve">2026-01-09</t>
  </si>
  <si>
    <t xml:space="preserve">entry_error</t>
  </si>
  <si>
    <t xml:space="preserve">adjustments-000005</t>
  </si>
  <si>
    <t xml:space="preserve">production-002837</t>
  </si>
  <si>
    <t xml:space="preserve">2026-05-23</t>
  </si>
  <si>
    <t xml:space="preserve">adjustments-000006</t>
  </si>
  <si>
    <t xml:space="preserve">production-005085</t>
  </si>
  <si>
    <t xml:space="preserve">2026-06-08</t>
  </si>
  <si>
    <t xml:space="preserve">adjustments-000007</t>
  </si>
  <si>
    <t xml:space="preserve">production-006905</t>
  </si>
  <si>
    <t xml:space="preserve">2026-04-11</t>
  </si>
  <si>
    <t xml:space="preserve">adjustments-000008</t>
  </si>
  <si>
    <t xml:space="preserve">production-004700</t>
  </si>
  <si>
    <t xml:space="preserve">2026-07-14</t>
  </si>
  <si>
    <t xml:space="preserve">adjustments-000009</t>
  </si>
  <si>
    <t xml:space="preserve">production-002612</t>
  </si>
  <si>
    <t xml:space="preserve">2026-05-12</t>
  </si>
  <si>
    <t xml:space="preserve">adjustments-000010</t>
  </si>
  <si>
    <t xml:space="preserve">production-001213</t>
  </si>
  <si>
    <t xml:space="preserve">2026-06-10</t>
  </si>
  <si>
    <t xml:space="preserve">adjustments-000011</t>
  </si>
  <si>
    <t xml:space="preserve">production-002953</t>
  </si>
  <si>
    <t xml:space="preserve">2026-03-22</t>
  </si>
  <si>
    <t xml:space="preserve">adjustments-000012</t>
  </si>
  <si>
    <t xml:space="preserve">production-006454</t>
  </si>
  <si>
    <t xml:space="preserve">2026-07-15</t>
  </si>
  <si>
    <t xml:space="preserve">adjustments-000013</t>
  </si>
  <si>
    <t xml:space="preserve">production-002448</t>
  </si>
  <si>
    <t xml:space="preserve">2026-02-05</t>
  </si>
  <si>
    <t xml:space="preserve">adjustments-000014</t>
  </si>
  <si>
    <t xml:space="preserve">production-002968</t>
  </si>
  <si>
    <t xml:space="preserve">2026-03-08</t>
  </si>
  <si>
    <t xml:space="preserve">adjustments-000015</t>
  </si>
  <si>
    <t xml:space="preserve">production-003690</t>
  </si>
  <si>
    <t xml:space="preserve">2026-05-26</t>
  </si>
  <si>
    <t xml:space="preserve">adjustments-000016</t>
  </si>
  <si>
    <t xml:space="preserve">production-006942</t>
  </si>
  <si>
    <t xml:space="preserve">2026-07-16</t>
  </si>
  <si>
    <t xml:space="preserve">adjustments-000017</t>
  </si>
  <si>
    <t xml:space="preserve">production-006864</t>
  </si>
  <si>
    <t xml:space="preserve">2026-03-29</t>
  </si>
  <si>
    <t xml:space="preserve">adjustments-000018</t>
  </si>
  <si>
    <t xml:space="preserve">production-005353</t>
  </si>
  <si>
    <t xml:space="preserve">2026-07-05</t>
  </si>
  <si>
    <t xml:space="preserve">adjustments-000019</t>
  </si>
  <si>
    <t xml:space="preserve">production-004382</t>
  </si>
  <si>
    <t xml:space="preserve">2026-05-25</t>
  </si>
  <si>
    <t xml:space="preserve">adjustments-000020</t>
  </si>
  <si>
    <t xml:space="preserve">production-005359</t>
  </si>
  <si>
    <t xml:space="preserve">2026-04-24</t>
  </si>
  <si>
    <t xml:space="preserve">adjustments-000021</t>
  </si>
  <si>
    <t xml:space="preserve">production-000728</t>
  </si>
  <si>
    <t xml:space="preserve">2026-02-11</t>
  </si>
  <si>
    <t xml:space="preserve">adjustments-000022</t>
  </si>
  <si>
    <t xml:space="preserve">production-003743</t>
  </si>
  <si>
    <t xml:space="preserve">2026-07-25</t>
  </si>
  <si>
    <t xml:space="preserve">adjustments-000023</t>
  </si>
  <si>
    <t xml:space="preserve">production-000224</t>
  </si>
  <si>
    <t xml:space="preserve">2026-02-28</t>
  </si>
  <si>
    <t xml:space="preserve">adjustments-000024</t>
  </si>
  <si>
    <t xml:space="preserve">production-007412</t>
  </si>
  <si>
    <t xml:space="preserve">2026-08-08</t>
  </si>
  <si>
    <t xml:space="preserve">adjustments-000025</t>
  </si>
  <si>
    <t xml:space="preserve">production-000343</t>
  </si>
  <si>
    <t xml:space="preserve">2026-04-12</t>
  </si>
  <si>
    <t xml:space="preserve">adjustments-000026</t>
  </si>
  <si>
    <t xml:space="preserve">production-006985</t>
  </si>
  <si>
    <t xml:space="preserve">2026-06-23</t>
  </si>
  <si>
    <t xml:space="preserve">adjustments-000027</t>
  </si>
  <si>
    <t xml:space="preserve">production-005573</t>
  </si>
  <si>
    <t xml:space="preserve">2026-05-18</t>
  </si>
  <si>
    <t xml:space="preserve">adjustments-000028</t>
  </si>
  <si>
    <t xml:space="preserve">production-005646</t>
  </si>
  <si>
    <t xml:space="preserve">2026-06-18</t>
  </si>
  <si>
    <t xml:space="preserve">adjustments-000029</t>
  </si>
  <si>
    <t xml:space="preserve">production-000638</t>
  </si>
  <si>
    <t xml:space="preserve">2026-08-22</t>
  </si>
  <si>
    <t xml:space="preserve">adjustments-000030</t>
  </si>
  <si>
    <t xml:space="preserve">production-001146</t>
  </si>
  <si>
    <t xml:space="preserve">2026-05-20</t>
  </si>
  <si>
    <t xml:space="preserve">adjustments-000031</t>
  </si>
  <si>
    <t xml:space="preserve">production-007195</t>
  </si>
  <si>
    <t xml:space="preserve">2026-02-19</t>
  </si>
  <si>
    <t xml:space="preserve">adjustments-000032</t>
  </si>
  <si>
    <t xml:space="preserve">production-007206</t>
  </si>
  <si>
    <t xml:space="preserve">2026-02-01</t>
  </si>
  <si>
    <t xml:space="preserve">adjustments-000033</t>
  </si>
  <si>
    <t xml:space="preserve">production-002852</t>
  </si>
  <si>
    <t xml:space="preserve">adjustments-000034</t>
  </si>
  <si>
    <t xml:space="preserve">production-000610</t>
  </si>
  <si>
    <t xml:space="preserve">2026-02-15</t>
  </si>
  <si>
    <t xml:space="preserve">adjustments-000035</t>
  </si>
  <si>
    <t xml:space="preserve">production-002834</t>
  </si>
  <si>
    <t xml:space="preserve">2026-02-04</t>
  </si>
  <si>
    <t xml:space="preserve">adjustments-000036</t>
  </si>
  <si>
    <t xml:space="preserve">production-000296</t>
  </si>
  <si>
    <t xml:space="preserve">adjustments-000037</t>
  </si>
  <si>
    <t xml:space="preserve">production-005524</t>
  </si>
  <si>
    <t xml:space="preserve">2026-02-17</t>
  </si>
  <si>
    <t xml:space="preserve">adjustments-000038</t>
  </si>
  <si>
    <t xml:space="preserve">production-004841</t>
  </si>
  <si>
    <t xml:space="preserve">2026-07-12</t>
  </si>
  <si>
    <t xml:space="preserve">adjustments-000039</t>
  </si>
  <si>
    <t xml:space="preserve">production-005943</t>
  </si>
  <si>
    <t xml:space="preserve">2026-07-24</t>
  </si>
  <si>
    <t xml:space="preserve">adjustments-000040</t>
  </si>
  <si>
    <t xml:space="preserve">production-002653</t>
  </si>
  <si>
    <t xml:space="preserve">2026-02-09</t>
  </si>
  <si>
    <t xml:space="preserve">adjustments-000041</t>
  </si>
  <si>
    <t xml:space="preserve">production-004534</t>
  </si>
  <si>
    <t xml:space="preserve">2026-05-04</t>
  </si>
  <si>
    <t xml:space="preserve">adjustments-000042</t>
  </si>
  <si>
    <t xml:space="preserve">production-003340</t>
  </si>
  <si>
    <t xml:space="preserve">2026-02-27</t>
  </si>
  <si>
    <t xml:space="preserve">adjustments-000043</t>
  </si>
  <si>
    <t xml:space="preserve">production-005407</t>
  </si>
  <si>
    <t xml:space="preserve">2026-08-30</t>
  </si>
  <si>
    <t xml:space="preserve">adjustments-000044</t>
  </si>
  <si>
    <t xml:space="preserve">production-004285</t>
  </si>
  <si>
    <t xml:space="preserve">2026-06-19</t>
  </si>
  <si>
    <t xml:space="preserve">adjustments-000045</t>
  </si>
  <si>
    <t xml:space="preserve">production-007406</t>
  </si>
  <si>
    <t xml:space="preserve">2026-06-29</t>
  </si>
  <si>
    <t xml:space="preserve">adjustments-000046</t>
  </si>
  <si>
    <t xml:space="preserve">production-001944</t>
  </si>
  <si>
    <t xml:space="preserve">2026-07-29</t>
  </si>
  <si>
    <t xml:space="preserve">adjustments-000047</t>
  </si>
  <si>
    <t xml:space="preserve">production-005557</t>
  </si>
  <si>
    <t xml:space="preserve">2026-04-19</t>
  </si>
  <si>
    <t xml:space="preserve">adjustments-000048</t>
  </si>
  <si>
    <t xml:space="preserve">production-006268</t>
  </si>
  <si>
    <t xml:space="preserve">2026-05-22</t>
  </si>
  <si>
    <t xml:space="preserve">adjustments-000049</t>
  </si>
  <si>
    <t xml:space="preserve">production-005609</t>
  </si>
  <si>
    <t xml:space="preserve">2026-05-05</t>
  </si>
  <si>
    <t xml:space="preserve">adjustments-000050</t>
  </si>
  <si>
    <t xml:space="preserve">production-006506</t>
  </si>
  <si>
    <t xml:space="preserve">2026-05-10</t>
  </si>
  <si>
    <t xml:space="preserve">adjustments-000051</t>
  </si>
  <si>
    <t xml:space="preserve">production-003194</t>
  </si>
  <si>
    <t xml:space="preserve">2026-03-20</t>
  </si>
  <si>
    <t xml:space="preserve">adjustments-000052</t>
  </si>
  <si>
    <t xml:space="preserve">production-006437</t>
  </si>
  <si>
    <t xml:space="preserve">2026-08-21</t>
  </si>
  <si>
    <t xml:space="preserve">adjustments-000053</t>
  </si>
  <si>
    <t xml:space="preserve">production-003216</t>
  </si>
  <si>
    <t xml:space="preserve">2026-03-30</t>
  </si>
  <si>
    <t xml:space="preserve">adjustments-000054</t>
  </si>
  <si>
    <t xml:space="preserve">production-000613</t>
  </si>
  <si>
    <t xml:space="preserve">2026-06-16</t>
  </si>
  <si>
    <t xml:space="preserve">adjustments-000055</t>
  </si>
  <si>
    <t xml:space="preserve">production-007016</t>
  </si>
  <si>
    <t xml:space="preserve">2026-07-04</t>
  </si>
  <si>
    <t xml:space="preserve">adjustments-000056</t>
  </si>
  <si>
    <t xml:space="preserve">production-006168</t>
  </si>
  <si>
    <t xml:space="preserve">2026-07-31</t>
  </si>
  <si>
    <t xml:space="preserve">adjustments-000057</t>
  </si>
  <si>
    <t xml:space="preserve">production-007114</t>
  </si>
  <si>
    <t xml:space="preserve">2026-02-26</t>
  </si>
  <si>
    <t xml:space="preserve">adjustments-000058</t>
  </si>
  <si>
    <t xml:space="preserve">production-001169</t>
  </si>
  <si>
    <t xml:space="preserve">2026-04-02</t>
  </si>
  <si>
    <t xml:space="preserve">adjustments-000059</t>
  </si>
  <si>
    <t xml:space="preserve">production-000552</t>
  </si>
  <si>
    <t xml:space="preserve">adjustments-000060</t>
  </si>
  <si>
    <t xml:space="preserve">production-005286</t>
  </si>
  <si>
    <t xml:space="preserve">adjustments-000061</t>
  </si>
  <si>
    <t xml:space="preserve">production-007327</t>
  </si>
  <si>
    <t xml:space="preserve">2026-03-18</t>
  </si>
  <si>
    <t xml:space="preserve">adjustments-000062</t>
  </si>
  <si>
    <t xml:space="preserve">production-005467</t>
  </si>
  <si>
    <t xml:space="preserve">adjustments-000063</t>
  </si>
  <si>
    <t xml:space="preserve">production-000812</t>
  </si>
  <si>
    <t xml:space="preserve">2026-05-19</t>
  </si>
  <si>
    <t xml:space="preserve">adjustments-000064</t>
  </si>
  <si>
    <t xml:space="preserve">production-006434</t>
  </si>
  <si>
    <t xml:space="preserve">adjustments-000065</t>
  </si>
  <si>
    <t xml:space="preserve">production-000789</t>
  </si>
  <si>
    <t xml:space="preserve">2026-03-06</t>
  </si>
  <si>
    <t xml:space="preserve">adjustments-000066</t>
  </si>
  <si>
    <t xml:space="preserve">production-003634</t>
  </si>
  <si>
    <t xml:space="preserve">2026-06-01</t>
  </si>
  <si>
    <t xml:space="preserve">adjustments-000067</t>
  </si>
  <si>
    <t xml:space="preserve">production-001402</t>
  </si>
  <si>
    <t xml:space="preserve">adjustments-000068</t>
  </si>
  <si>
    <t xml:space="preserve">production-004816</t>
  </si>
  <si>
    <t xml:space="preserve">2026-07-20</t>
  </si>
  <si>
    <t xml:space="preserve">adjustments-000069</t>
  </si>
  <si>
    <t xml:space="preserve">production-000213</t>
  </si>
  <si>
    <t xml:space="preserve">2026-03-10</t>
  </si>
  <si>
    <t xml:space="preserve">adjustments-000070</t>
  </si>
  <si>
    <t xml:space="preserve">production-006681</t>
  </si>
  <si>
    <t xml:space="preserve">2026-06-21</t>
  </si>
  <si>
    <t xml:space="preserve">adjustments-000071</t>
  </si>
  <si>
    <t xml:space="preserve">production-004525</t>
  </si>
  <si>
    <t xml:space="preserve">adjustments-000072</t>
  </si>
  <si>
    <t xml:space="preserve">production-005801</t>
  </si>
  <si>
    <t xml:space="preserve">2026-03-27</t>
  </si>
  <si>
    <t xml:space="preserve">adjustments-000073</t>
  </si>
  <si>
    <t xml:space="preserve">production-006858</t>
  </si>
  <si>
    <t xml:space="preserve">2026-07-17</t>
  </si>
  <si>
    <t xml:space="preserve">adjustments-000074</t>
  </si>
  <si>
    <t xml:space="preserve">production-003059</t>
  </si>
  <si>
    <t xml:space="preserve">adjustments-000075</t>
  </si>
  <si>
    <t xml:space="preserve">production-002807</t>
  </si>
  <si>
    <t xml:space="preserve">2026-03-16</t>
  </si>
  <si>
    <t xml:space="preserve">adjustments-000076</t>
  </si>
  <si>
    <t xml:space="preserve">production-003169</t>
  </si>
  <si>
    <t xml:space="preserve">2026-03-17</t>
  </si>
  <si>
    <t xml:space="preserve">adjustments-000077</t>
  </si>
  <si>
    <t xml:space="preserve">production-002327</t>
  </si>
  <si>
    <t xml:space="preserve">adjustments-000078</t>
  </si>
  <si>
    <t xml:space="preserve">production-003304</t>
  </si>
  <si>
    <t xml:space="preserve">2026-06-11</t>
  </si>
  <si>
    <t xml:space="preserve">adjustments-000079</t>
  </si>
  <si>
    <t xml:space="preserve">production-004980</t>
  </si>
  <si>
    <t xml:space="preserve">2026-06-07</t>
  </si>
  <si>
    <t xml:space="preserve">adjustments-000080</t>
  </si>
  <si>
    <t xml:space="preserve">production-002847</t>
  </si>
  <si>
    <t xml:space="preserve">2026-04-26</t>
  </si>
  <si>
    <t xml:space="preserve">adjustments-000081</t>
  </si>
  <si>
    <t xml:space="preserve">production-000792</t>
  </si>
  <si>
    <t xml:space="preserve">adjustments-000082</t>
  </si>
  <si>
    <t xml:space="preserve">production-006758</t>
  </si>
  <si>
    <t xml:space="preserve">adjustments-000083</t>
  </si>
  <si>
    <t xml:space="preserve">production-006463</t>
  </si>
  <si>
    <t xml:space="preserve">2026-06-15</t>
  </si>
  <si>
    <t xml:space="preserve">adjustments-000084</t>
  </si>
  <si>
    <t xml:space="preserve">production-005735</t>
  </si>
  <si>
    <t xml:space="preserve">adjustments-000085</t>
  </si>
  <si>
    <t xml:space="preserve">production-006356</t>
  </si>
  <si>
    <t xml:space="preserve">2026-06-09</t>
  </si>
  <si>
    <t xml:space="preserve">adjustments-000086</t>
  </si>
  <si>
    <t xml:space="preserve">production-000462</t>
  </si>
  <si>
    <t xml:space="preserve">2026-04-03</t>
  </si>
  <si>
    <t xml:space="preserve">adjustments-000087</t>
  </si>
  <si>
    <t xml:space="preserve">production-001593</t>
  </si>
  <si>
    <t xml:space="preserve">2026-03-28</t>
  </si>
  <si>
    <t xml:space="preserve">adjustments-000088</t>
  </si>
  <si>
    <t xml:space="preserve">production-001052</t>
  </si>
  <si>
    <t xml:space="preserve">adjustments-000089</t>
  </si>
  <si>
    <t xml:space="preserve">production-001537</t>
  </si>
  <si>
    <t xml:space="preserve">adjustments-000090</t>
  </si>
  <si>
    <t xml:space="preserve">production-005994</t>
  </si>
  <si>
    <t xml:space="preserve">adjustments-000091</t>
  </si>
  <si>
    <t xml:space="preserve">production-003874</t>
  </si>
  <si>
    <t xml:space="preserve">adjustments-000092</t>
  </si>
  <si>
    <t xml:space="preserve">production-006346</t>
  </si>
  <si>
    <t xml:space="preserve">adjustments-000093</t>
  </si>
  <si>
    <t xml:space="preserve">production-004922</t>
  </si>
  <si>
    <t xml:space="preserve">adjustments-000094</t>
  </si>
  <si>
    <t xml:space="preserve">production-001631</t>
  </si>
  <si>
    <t xml:space="preserve">2026-04-04</t>
  </si>
  <si>
    <t xml:space="preserve">adjustments-000095</t>
  </si>
  <si>
    <t xml:space="preserve">production-000258</t>
  </si>
  <si>
    <t xml:space="preserve">2026-04-05</t>
  </si>
  <si>
    <t xml:space="preserve">adjustments-000096</t>
  </si>
  <si>
    <t xml:space="preserve">production-001509</t>
  </si>
  <si>
    <t xml:space="preserve">2026-05-11</t>
  </si>
  <si>
    <t xml:space="preserve">adjustments-000097</t>
  </si>
  <si>
    <t xml:space="preserve">production-004941</t>
  </si>
  <si>
    <t xml:space="preserve">2026-04-07</t>
  </si>
  <si>
    <t xml:space="preserve">adjustments-000098</t>
  </si>
  <si>
    <t xml:space="preserve">production-001874</t>
  </si>
  <si>
    <t xml:space="preserve">2026-06-30</t>
  </si>
  <si>
    <t xml:space="preserve">adjustments-000099</t>
  </si>
  <si>
    <t xml:space="preserve">production-007678</t>
  </si>
  <si>
    <t xml:space="preserve">adjustments-000100</t>
  </si>
  <si>
    <t xml:space="preserve">production-000881</t>
  </si>
  <si>
    <t xml:space="preserve">2026-07-06</t>
  </si>
  <si>
    <t xml:space="preserve">adjustments-000101</t>
  </si>
  <si>
    <t xml:space="preserve">production-006967</t>
  </si>
  <si>
    <t xml:space="preserve">adjustments-000102</t>
  </si>
  <si>
    <t xml:space="preserve">production-007437</t>
  </si>
  <si>
    <t xml:space="preserve">adjustments-000103</t>
  </si>
  <si>
    <t xml:space="preserve">production-005582</t>
  </si>
  <si>
    <t xml:space="preserve">adjustments-000104</t>
  </si>
  <si>
    <t xml:space="preserve">production-004820</t>
  </si>
  <si>
    <t xml:space="preserve">adjustments-000105</t>
  </si>
  <si>
    <t xml:space="preserve">production-002070</t>
  </si>
  <si>
    <t xml:space="preserve">2026-05-27</t>
  </si>
  <si>
    <t xml:space="preserve">adjustments-000106</t>
  </si>
  <si>
    <t xml:space="preserve">production-002844</t>
  </si>
  <si>
    <t xml:space="preserve">adjustments-000107</t>
  </si>
  <si>
    <t xml:space="preserve">production-006124</t>
  </si>
  <si>
    <t xml:space="preserve">adjustments-000108</t>
  </si>
  <si>
    <t xml:space="preserve">production-006878</t>
  </si>
  <si>
    <t xml:space="preserve">2026-04-18</t>
  </si>
  <si>
    <t xml:space="preserve">adjustments-000109</t>
  </si>
  <si>
    <t xml:space="preserve">production-007795</t>
  </si>
  <si>
    <t xml:space="preserve">2026-08-19</t>
  </si>
  <si>
    <t xml:space="preserve">adjustments-000110</t>
  </si>
  <si>
    <t xml:space="preserve">production-002802</t>
  </si>
  <si>
    <t xml:space="preserve">2026-04-20</t>
  </si>
  <si>
    <t xml:space="preserve">adjustments-000111</t>
  </si>
  <si>
    <t xml:space="preserve">production-002695</t>
  </si>
  <si>
    <t xml:space="preserve">adjustments-000112</t>
  </si>
  <si>
    <t xml:space="preserve">production-001063</t>
  </si>
  <si>
    <t xml:space="preserve">2026-07-11</t>
  </si>
  <si>
    <t xml:space="preserve">adjustments-000113</t>
  </si>
  <si>
    <t xml:space="preserve">production-005622</t>
  </si>
  <si>
    <t xml:space="preserve">2026-04-23</t>
  </si>
  <si>
    <t xml:space="preserve">adjustments-000114</t>
  </si>
  <si>
    <t xml:space="preserve">production-006479</t>
  </si>
  <si>
    <t xml:space="preserve">2026-08-13</t>
  </si>
  <si>
    <t xml:space="preserve">adjustments-000115</t>
  </si>
  <si>
    <t xml:space="preserve">production-001917</t>
  </si>
  <si>
    <t xml:space="preserve">2026-08-01</t>
  </si>
  <si>
    <t xml:space="preserve">adjustments-000116</t>
  </si>
  <si>
    <t xml:space="preserve">production-003433</t>
  </si>
  <si>
    <t xml:space="preserve">adjustments-000117</t>
  </si>
  <si>
    <t xml:space="preserve">production-000167</t>
  </si>
  <si>
    <t xml:space="preserve">adjustments-000118</t>
  </si>
  <si>
    <t xml:space="preserve">production-002285</t>
  </si>
  <si>
    <t xml:space="preserve">2026-04-28</t>
  </si>
  <si>
    <t xml:space="preserve">adjustments-000119</t>
  </si>
  <si>
    <t xml:space="preserve">production-005032</t>
  </si>
  <si>
    <t xml:space="preserve">2026-04-29</t>
  </si>
  <si>
    <t xml:space="preserve">adjustments-000120</t>
  </si>
  <si>
    <t xml:space="preserve">production-006753</t>
  </si>
  <si>
    <t xml:space="preserve">2026-04-30</t>
  </si>
  <si>
    <t xml:space="preserve">adjustments-000121</t>
  </si>
  <si>
    <t xml:space="preserve">production-006235</t>
  </si>
  <si>
    <t xml:space="preserve">2026-05-01</t>
  </si>
  <si>
    <t xml:space="preserve">adjustments-000122</t>
  </si>
  <si>
    <t xml:space="preserve">production-001580</t>
  </si>
  <si>
    <t xml:space="preserve">2026-08-06</t>
  </si>
  <si>
    <t xml:space="preserve">adjustments-000123</t>
  </si>
  <si>
    <t xml:space="preserve">production-005259</t>
  </si>
  <si>
    <t xml:space="preserve">2026-05-03</t>
  </si>
  <si>
    <t xml:space="preserve">adjustments-000124</t>
  </si>
  <si>
    <t xml:space="preserve">production-007496</t>
  </si>
  <si>
    <t xml:space="preserve">adjustments-000125</t>
  </si>
  <si>
    <t xml:space="preserve">production-000023</t>
  </si>
  <si>
    <t xml:space="preserve">adjustments-000126</t>
  </si>
  <si>
    <t xml:space="preserve">production-001526</t>
  </si>
  <si>
    <t xml:space="preserve">2026-05-06</t>
  </si>
  <si>
    <t xml:space="preserve">adjustments-000127</t>
  </si>
  <si>
    <t xml:space="preserve">production-001419</t>
  </si>
  <si>
    <t xml:space="preserve">2026-05-07</t>
  </si>
  <si>
    <t xml:space="preserve">adjustments-000128</t>
  </si>
  <si>
    <t xml:space="preserve">production-002163</t>
  </si>
  <si>
    <t xml:space="preserve">2026-05-08</t>
  </si>
  <si>
    <t xml:space="preserve">adjustments-000129</t>
  </si>
  <si>
    <t xml:space="preserve">production-005190</t>
  </si>
  <si>
    <t xml:space="preserve">adjustments-000130</t>
  </si>
  <si>
    <t xml:space="preserve">production-004596</t>
  </si>
  <si>
    <t xml:space="preserve">2026-08-10</t>
  </si>
  <si>
    <t xml:space="preserve">adjustments-000131</t>
  </si>
  <si>
    <t xml:space="preserve">production-006263</t>
  </si>
  <si>
    <t xml:space="preserve">adjustments-000132</t>
  </si>
  <si>
    <t xml:space="preserve">production-004282</t>
  </si>
  <si>
    <t xml:space="preserve">2026-05-13</t>
  </si>
  <si>
    <t xml:space="preserve">adjustments-000133</t>
  </si>
  <si>
    <t xml:space="preserve">production-007123</t>
  </si>
  <si>
    <t xml:space="preserve">adjustments-000134</t>
  </si>
  <si>
    <t xml:space="preserve">production-005048</t>
  </si>
  <si>
    <t xml:space="preserve">2026-05-14</t>
  </si>
  <si>
    <t xml:space="preserve">adjustments-000135</t>
  </si>
  <si>
    <t xml:space="preserve">production-004527</t>
  </si>
  <si>
    <t xml:space="preserve">2026-05-15</t>
  </si>
  <si>
    <t xml:space="preserve">adjustments-000136</t>
  </si>
  <si>
    <t xml:space="preserve">production-001310</t>
  </si>
  <si>
    <t xml:space="preserve">2026-05-16</t>
  </si>
  <si>
    <t xml:space="preserve">adjustments-000137</t>
  </si>
  <si>
    <t xml:space="preserve">production-005887</t>
  </si>
  <si>
    <t xml:space="preserve">2026-07-21</t>
  </si>
  <si>
    <t xml:space="preserve">adjustments-000138</t>
  </si>
  <si>
    <t xml:space="preserve">production-000863</t>
  </si>
  <si>
    <t xml:space="preserve">2026-08-20</t>
  </si>
  <si>
    <t xml:space="preserve">adjustments-000139</t>
  </si>
  <si>
    <t xml:space="preserve">production-003178</t>
  </si>
  <si>
    <t xml:space="preserve">2026-08-24</t>
  </si>
  <si>
    <t xml:space="preserve">adjustments-000140</t>
  </si>
  <si>
    <t xml:space="preserve">production-006890</t>
  </si>
  <si>
    <t xml:space="preserve">adjustments-000141</t>
  </si>
  <si>
    <t xml:space="preserve">production-000472</t>
  </si>
  <si>
    <t xml:space="preserve">2026-05-21</t>
  </si>
  <si>
    <t xml:space="preserve">adjustments-000142</t>
  </si>
  <si>
    <t xml:space="preserve">production-001516</t>
  </si>
  <si>
    <t xml:space="preserve">adjustments-000143</t>
  </si>
  <si>
    <t xml:space="preserve">production-000388</t>
  </si>
  <si>
    <t xml:space="preserve">adjustments-000144</t>
  </si>
  <si>
    <t xml:space="preserve">production-004829</t>
  </si>
  <si>
    <t xml:space="preserve">adjustments-000145</t>
  </si>
  <si>
    <t xml:space="preserve">production-007065</t>
  </si>
  <si>
    <t xml:space="preserve">adjustments-000146</t>
  </si>
  <si>
    <t xml:space="preserve">production-007707</t>
  </si>
  <si>
    <t xml:space="preserve">adjustments-000147</t>
  </si>
  <si>
    <t xml:space="preserve">production-004395</t>
  </si>
  <si>
    <t xml:space="preserve">adjustments-000148</t>
  </si>
  <si>
    <t xml:space="preserve">production-004960</t>
  </si>
  <si>
    <t xml:space="preserve">2026-05-28</t>
  </si>
  <si>
    <t xml:space="preserve">adjustments-000149</t>
  </si>
  <si>
    <t xml:space="preserve">production-005959</t>
  </si>
  <si>
    <t xml:space="preserve">2026-05-29</t>
  </si>
  <si>
    <t xml:space="preserve">adjustments-000150</t>
  </si>
  <si>
    <t xml:space="preserve">production-006447</t>
  </si>
  <si>
    <t xml:space="preserve">2026-05-30</t>
  </si>
  <si>
    <t xml:space="preserve">adjustments-000151</t>
  </si>
  <si>
    <t xml:space="preserve">production-007649</t>
  </si>
  <si>
    <t xml:space="preserve">2026-07-02</t>
  </si>
  <si>
    <t xml:space="preserve">adjustments-000152</t>
  </si>
  <si>
    <t xml:space="preserve">production-004489</t>
  </si>
  <si>
    <t xml:space="preserve">adjustments-000153</t>
  </si>
  <si>
    <t xml:space="preserve">production-002072</t>
  </si>
  <si>
    <t xml:space="preserve">2026-06-02</t>
  </si>
  <si>
    <t xml:space="preserve">adjustments-000154</t>
  </si>
  <si>
    <t xml:space="preserve">production-003444</t>
  </si>
  <si>
    <t xml:space="preserve">2026-06-03</t>
  </si>
  <si>
    <t xml:space="preserve">adjustments-000155</t>
  </si>
  <si>
    <t xml:space="preserve">production-006961</t>
  </si>
  <si>
    <t xml:space="preserve">2026-06-04</t>
  </si>
  <si>
    <t xml:space="preserve">adjustments-000156</t>
  </si>
  <si>
    <t xml:space="preserve">production-006539</t>
  </si>
  <si>
    <t xml:space="preserve">2026-06-05</t>
  </si>
  <si>
    <t xml:space="preserve">adjustments-000157</t>
  </si>
  <si>
    <t xml:space="preserve">production-007089</t>
  </si>
  <si>
    <t xml:space="preserve">2026-06-06</t>
  </si>
  <si>
    <t xml:space="preserve">adjustments-000158</t>
  </si>
  <si>
    <t xml:space="preserve">production-001769</t>
  </si>
  <si>
    <t xml:space="preserve">adjustments-000159</t>
  </si>
  <si>
    <t xml:space="preserve">production-002642</t>
  </si>
  <si>
    <t xml:space="preserve">adjustments-000160</t>
  </si>
  <si>
    <t xml:space="preserve">production-003383</t>
  </si>
  <si>
    <t xml:space="preserve">adjustments-000161</t>
  </si>
  <si>
    <t xml:space="preserve">production-007097</t>
  </si>
  <si>
    <t xml:space="preserve">adjustments-000162</t>
  </si>
  <si>
    <t xml:space="preserve">production-006921</t>
  </si>
  <si>
    <t xml:space="preserve">2026-08-02</t>
  </si>
  <si>
    <t xml:space="preserve">adjustments-000163</t>
  </si>
  <si>
    <t xml:space="preserve">production-000956</t>
  </si>
  <si>
    <t xml:space="preserve">2026-06-12</t>
  </si>
  <si>
    <t xml:space="preserve">adjustments-000164</t>
  </si>
  <si>
    <t xml:space="preserve">production-003033</t>
  </si>
  <si>
    <t xml:space="preserve">2026-07-26</t>
  </si>
  <si>
    <t xml:space="preserve">adjustments-000165</t>
  </si>
  <si>
    <t xml:space="preserve">production-001427</t>
  </si>
  <si>
    <t xml:space="preserve">2026-06-14</t>
  </si>
  <si>
    <t xml:space="preserve">adjustments-000166</t>
  </si>
  <si>
    <t xml:space="preserve">production-007595</t>
  </si>
  <si>
    <t xml:space="preserve">adjustments-000167</t>
  </si>
  <si>
    <t xml:space="preserve">production-007554</t>
  </si>
  <si>
    <t xml:space="preserve">adjustments-000168</t>
  </si>
  <si>
    <t xml:space="preserve">production-006786</t>
  </si>
  <si>
    <t xml:space="preserve">adjustments-000169</t>
  </si>
  <si>
    <t xml:space="preserve">production-005029</t>
  </si>
  <si>
    <t xml:space="preserve">adjustments-000170</t>
  </si>
  <si>
    <t xml:space="preserve">production-006359</t>
  </si>
  <si>
    <t xml:space="preserve">2026-08-26</t>
  </si>
  <si>
    <t xml:space="preserve">adjustments-000171</t>
  </si>
  <si>
    <t xml:space="preserve">production-006528</t>
  </si>
  <si>
    <t xml:space="preserve">2026-06-20</t>
  </si>
  <si>
    <t xml:space="preserve">adjustments-000172</t>
  </si>
  <si>
    <t xml:space="preserve">production-000211</t>
  </si>
  <si>
    <t xml:space="preserve">adjustments-000173</t>
  </si>
  <si>
    <t xml:space="preserve">production-001740</t>
  </si>
  <si>
    <t xml:space="preserve">2026-06-22</t>
  </si>
  <si>
    <t xml:space="preserve">adjustments-000174</t>
  </si>
  <si>
    <t xml:space="preserve">production-005702</t>
  </si>
  <si>
    <t xml:space="preserve">adjustments-000175</t>
  </si>
  <si>
    <t xml:space="preserve">production-004462</t>
  </si>
  <si>
    <t xml:space="preserve">2026-06-24</t>
  </si>
  <si>
    <t xml:space="preserve">adjustments-000176</t>
  </si>
  <si>
    <t xml:space="preserve">production-005339</t>
  </si>
  <si>
    <t xml:space="preserve">2026-07-07</t>
  </si>
  <si>
    <t xml:space="preserve">adjustments-000177</t>
  </si>
  <si>
    <t xml:space="preserve">production-000042</t>
  </si>
  <si>
    <t xml:space="preserve">2026-06-26</t>
  </si>
  <si>
    <t xml:space="preserve">adjustments-000178</t>
  </si>
  <si>
    <t xml:space="preserve">production-004109</t>
  </si>
  <si>
    <t xml:space="preserve">2026-06-27</t>
  </si>
  <si>
    <t xml:space="preserve">adjustments-000179</t>
  </si>
  <si>
    <t xml:space="preserve">production-005989</t>
  </si>
  <si>
    <t xml:space="preserve">2026-06-28</t>
  </si>
  <si>
    <t xml:space="preserve">adjustments-000180</t>
  </si>
  <si>
    <t xml:space="preserve">production-000815</t>
  </si>
  <si>
    <t xml:space="preserve">adjustments-000181</t>
  </si>
  <si>
    <t xml:space="preserve">production-001005</t>
  </si>
  <si>
    <t xml:space="preserve">adjustments-000182</t>
  </si>
  <si>
    <t xml:space="preserve">production-000423</t>
  </si>
  <si>
    <t xml:space="preserve">2026-07-01</t>
  </si>
  <si>
    <t xml:space="preserve">adjustments-000183</t>
  </si>
  <si>
    <t xml:space="preserve">production-006375</t>
  </si>
  <si>
    <t xml:space="preserve">adjustments-000184</t>
  </si>
  <si>
    <t xml:space="preserve">production-001815</t>
  </si>
  <si>
    <t xml:space="preserve">2026-07-03</t>
  </si>
  <si>
    <t xml:space="preserve">adjustments-000185</t>
  </si>
  <si>
    <t xml:space="preserve">production-007547</t>
  </si>
  <si>
    <t xml:space="preserve">2026-08-12</t>
  </si>
  <si>
    <t xml:space="preserve">adjustments-000186</t>
  </si>
  <si>
    <t xml:space="preserve">production-006106</t>
  </si>
  <si>
    <t xml:space="preserve">2026-08-18</t>
  </si>
  <si>
    <t xml:space="preserve">adjustments-000187</t>
  </si>
  <si>
    <t xml:space="preserve">production-003585</t>
  </si>
  <si>
    <t xml:space="preserve">adjustments-000188</t>
  </si>
  <si>
    <t xml:space="preserve">production-005759</t>
  </si>
  <si>
    <t xml:space="preserve">adjustments-000189</t>
  </si>
  <si>
    <t xml:space="preserve">2026-07-08</t>
  </si>
  <si>
    <t xml:space="preserve">adjustments-000190</t>
  </si>
  <si>
    <t xml:space="preserve">production-006499</t>
  </si>
  <si>
    <t xml:space="preserve">2026-07-22</t>
  </si>
  <si>
    <t xml:space="preserve">adjustments-000191</t>
  </si>
  <si>
    <t xml:space="preserve">production-001011</t>
  </si>
  <si>
    <t xml:space="preserve">2026-07-10</t>
  </si>
  <si>
    <t xml:space="preserve">adjustments-000192</t>
  </si>
  <si>
    <t xml:space="preserve">production-003519</t>
  </si>
  <si>
    <t xml:space="preserve">adjustments-000193</t>
  </si>
  <si>
    <t xml:space="preserve">production-001582</t>
  </si>
  <si>
    <t xml:space="preserve">adjustments-000194</t>
  </si>
  <si>
    <t xml:space="preserve">production-005387</t>
  </si>
  <si>
    <t xml:space="preserve">2026-07-13</t>
  </si>
  <si>
    <t xml:space="preserve">adjustments-000195</t>
  </si>
  <si>
    <t xml:space="preserve">production-003905</t>
  </si>
  <si>
    <t xml:space="preserve">adjustments-000196</t>
  </si>
  <si>
    <t xml:space="preserve">production-002998</t>
  </si>
  <si>
    <t xml:space="preserve">adjustments-000197</t>
  </si>
  <si>
    <t xml:space="preserve">production-004615</t>
  </si>
  <si>
    <t xml:space="preserve">adjustments-000198</t>
  </si>
  <si>
    <t xml:space="preserve">production-002182</t>
  </si>
  <si>
    <t xml:space="preserve">adjustments-000199</t>
  </si>
  <si>
    <t xml:space="preserve">production-005434</t>
  </si>
  <si>
    <t xml:space="preserve">2026-07-18</t>
  </si>
  <si>
    <t xml:space="preserve">adjustments-000200</t>
  </si>
  <si>
    <t xml:space="preserve">2026-07-19</t>
  </si>
  <si>
    <t xml:space="preserve">adjustments-000201</t>
  </si>
  <si>
    <t xml:space="preserve">production-004985</t>
  </si>
  <si>
    <t xml:space="preserve">adjustments-000202</t>
  </si>
  <si>
    <t xml:space="preserve">production-003317</t>
  </si>
  <si>
    <t xml:space="preserve">adjustments-000203</t>
  </si>
  <si>
    <t xml:space="preserve">production-004676</t>
  </si>
  <si>
    <t xml:space="preserve">adjustments-000204</t>
  </si>
  <si>
    <t xml:space="preserve">production-001565</t>
  </si>
  <si>
    <t xml:space="preserve">2026-07-23</t>
  </si>
  <si>
    <t xml:space="preserve">adjustments-000205</t>
  </si>
  <si>
    <t xml:space="preserve">production-007635</t>
  </si>
  <si>
    <t xml:space="preserve">2026-08-14</t>
  </si>
  <si>
    <t xml:space="preserve">adjustments-000206</t>
  </si>
  <si>
    <t xml:space="preserve">production-002635</t>
  </si>
  <si>
    <t xml:space="preserve">2026-08-05</t>
  </si>
  <si>
    <t xml:space="preserve">adjustments-000207</t>
  </si>
  <si>
    <t xml:space="preserve">production-000905</t>
  </si>
  <si>
    <t xml:space="preserve">adjustments-000208</t>
  </si>
  <si>
    <t xml:space="preserve">production-006842</t>
  </si>
  <si>
    <t xml:space="preserve">2026-07-27</t>
  </si>
  <si>
    <t xml:space="preserve">adjustments-000209</t>
  </si>
  <si>
    <t xml:space="preserve">production-000878</t>
  </si>
  <si>
    <t xml:space="preserve">2026-07-28</t>
  </si>
  <si>
    <t xml:space="preserve">adjustments-000210</t>
  </si>
  <si>
    <t xml:space="preserve">production-000198</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</si>
</sst>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G211" headerRowCount="1" totalsRowCount="0" totalsRowShown="0">
  <autoFilter ref="A1:G211"/>
  <tableColumns count="7">
    <tableColumn id="1" name="adjustment_id"/>
    <tableColumn id="2" name="record_id"/>
    <tableColumn id="3" name="adjustment_date"/>
    <tableColumn id="4" name="stream"/>
    <tableColumn id="5" name="original_value"/>
    <tableColumn id="6" name="revised_value"/>
    <tableColumn id="7" name="reason"/>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60" hidden="false" customHeight="true" outlineLevel="0" collapsed="false">
      <c r="A8" s="3" t="s">
        <v>12</v>
      </c>
      <c r="B8" s="3" t="s">
        <v>13</v>
      </c>
    </row>
    <row r="9" customFormat="false" ht="75" hidden="false" customHeight="true" outlineLevel="0" collapsed="false">
      <c r="A9" s="3" t="s">
        <v>14</v>
      </c>
      <c r="B9" s="3" t="s">
        <v>15</v>
      </c>
    </row>
    <row r="10" customFormat="false" ht="75" hidden="false" customHeight="true" outlineLevel="0" collapsed="false">
      <c r="A10" s="3" t="s">
        <v>16</v>
      </c>
      <c r="B10" s="3" t="s">
        <v>17</v>
      </c>
    </row>
    <row r="11" customFormat="false" ht="60" hidden="false" customHeight="true" outlineLevel="0" collapsed="false">
      <c r="A11" s="3" t="s">
        <v>18</v>
      </c>
      <c r="B11" s="3" t="s">
        <v>19</v>
      </c>
    </row>
    <row r="12" customFormat="false" ht="45" hidden="false" customHeight="true" outlineLevel="0" collapsed="false">
      <c r="A12" s="3" t="s">
        <v>20</v>
      </c>
      <c r="B12" s="3" t="s">
        <v>21</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22</v>
      </c>
      <c r="B1" s="1" t="s">
        <v>23</v>
      </c>
      <c r="C1" s="1" t="s">
        <v>24</v>
      </c>
      <c r="D1" s="1" t="s">
        <v>25</v>
      </c>
      <c r="E1" s="1" t="s">
        <v>26</v>
      </c>
      <c r="F1" s="1" t="s">
        <v>27</v>
      </c>
      <c r="G1" s="1" t="s">
        <v>28</v>
      </c>
      <c r="H1" s="1" t="s">
        <v>29</v>
      </c>
    </row>
    <row r="2" customFormat="false" ht="45" hidden="false" customHeight="true" outlineLevel="0" collapsed="false">
      <c r="A2" s="3" t="s">
        <v>30</v>
      </c>
      <c r="B2" s="3" t="s">
        <v>31</v>
      </c>
      <c r="C2" s="3" t="s">
        <v>32</v>
      </c>
      <c r="D2" s="4" t="n">
        <f aca="false">SUM('Data 1'!E2:E211)</f>
        <v>187768.16</v>
      </c>
      <c r="E2" s="4" t="n">
        <f aca="false">IF(COUNT('Data 1'!E2:E211)=0,0,AVERAGE('Data 1'!E2:E211))</f>
        <v>894.134095238095</v>
      </c>
      <c r="F2" s="0" t="n">
        <f aca="false">COUNT('Data 1'!E2:E211)</f>
        <v>210</v>
      </c>
      <c r="G2" s="3" t="s">
        <v>33</v>
      </c>
      <c r="H2" s="3" t="s">
        <v>34</v>
      </c>
    </row>
    <row r="3" customFormat="false" ht="45" hidden="false" customHeight="true" outlineLevel="0" collapsed="false">
      <c r="A3" s="3" t="s">
        <v>30</v>
      </c>
      <c r="B3" s="3" t="s">
        <v>35</v>
      </c>
      <c r="C3" s="3" t="s">
        <v>32</v>
      </c>
      <c r="D3" s="4" t="n">
        <f aca="false">SUM('Data 1'!F2:F211)</f>
        <v>186704.18</v>
      </c>
      <c r="E3" s="4" t="n">
        <f aca="false">IF(COUNT('Data 1'!F2:F211)=0,0,AVERAGE('Data 1'!F2:F211))</f>
        <v>889.067523809524</v>
      </c>
      <c r="F3" s="0" t="n">
        <f aca="false">COUNT('Data 1'!F2:F211)</f>
        <v>210</v>
      </c>
      <c r="G3" s="3" t="s">
        <v>33</v>
      </c>
      <c r="H3" s="3" t="s">
        <v>34</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22</v>
      </c>
      <c r="B1" s="1" t="s">
        <v>36</v>
      </c>
      <c r="C1" s="1" t="s">
        <v>37</v>
      </c>
      <c r="D1" s="1" t="s">
        <v>24</v>
      </c>
      <c r="E1" s="1" t="s">
        <v>38</v>
      </c>
      <c r="F1" s="1" t="s">
        <v>39</v>
      </c>
    </row>
    <row r="2" customFormat="false" ht="31.5" hidden="false" customHeight="true" outlineLevel="0" collapsed="false">
      <c r="A2" s="3" t="s">
        <v>30</v>
      </c>
      <c r="B2" s="3" t="s">
        <v>40</v>
      </c>
      <c r="C2" s="3" t="s">
        <v>41</v>
      </c>
      <c r="D2" s="3"/>
      <c r="E2" s="3" t="s">
        <v>42</v>
      </c>
      <c r="F2" s="3"/>
    </row>
    <row r="3" customFormat="false" ht="31.5" hidden="false" customHeight="true" outlineLevel="0" collapsed="false">
      <c r="A3" s="3" t="s">
        <v>30</v>
      </c>
      <c r="B3" s="3" t="s">
        <v>43</v>
      </c>
      <c r="C3" s="3" t="s">
        <v>44</v>
      </c>
      <c r="D3" s="3"/>
      <c r="E3" s="3" t="s">
        <v>45</v>
      </c>
      <c r="F3" s="3"/>
    </row>
    <row r="4" customFormat="false" ht="31.5" hidden="false" customHeight="true" outlineLevel="0" collapsed="false">
      <c r="A4" s="3" t="s">
        <v>30</v>
      </c>
      <c r="B4" s="3" t="s">
        <v>46</v>
      </c>
      <c r="C4" s="3" t="s">
        <v>47</v>
      </c>
      <c r="D4" s="3"/>
      <c r="E4" s="3" t="s">
        <v>48</v>
      </c>
      <c r="F4" s="3"/>
    </row>
    <row r="5" customFormat="false" ht="31.5" hidden="false" customHeight="true" outlineLevel="0" collapsed="false">
      <c r="A5" s="3" t="s">
        <v>30</v>
      </c>
      <c r="B5" s="3" t="s">
        <v>49</v>
      </c>
      <c r="C5" s="3" t="s">
        <v>50</v>
      </c>
      <c r="D5" s="3"/>
      <c r="E5" s="3" t="s">
        <v>45</v>
      </c>
      <c r="F5" s="3"/>
    </row>
    <row r="6" customFormat="false" ht="31.5" hidden="false" customHeight="true" outlineLevel="0" collapsed="false">
      <c r="A6" s="3" t="s">
        <v>30</v>
      </c>
      <c r="B6" s="3" t="s">
        <v>31</v>
      </c>
      <c r="C6" s="3" t="s">
        <v>51</v>
      </c>
      <c r="D6" s="3" t="s">
        <v>32</v>
      </c>
      <c r="E6" s="3" t="s">
        <v>52</v>
      </c>
      <c r="F6" s="3"/>
    </row>
    <row r="7" customFormat="false" ht="31.5" hidden="false" customHeight="true" outlineLevel="0" collapsed="false">
      <c r="A7" s="3" t="s">
        <v>30</v>
      </c>
      <c r="B7" s="3" t="s">
        <v>35</v>
      </c>
      <c r="C7" s="3" t="s">
        <v>53</v>
      </c>
      <c r="D7" s="3" t="s">
        <v>32</v>
      </c>
      <c r="E7" s="3" t="s">
        <v>52</v>
      </c>
      <c r="F7" s="3"/>
    </row>
    <row r="8" customFormat="false" ht="31.5" hidden="false" customHeight="true" outlineLevel="0" collapsed="false">
      <c r="A8" s="3" t="s">
        <v>30</v>
      </c>
      <c r="B8" s="3" t="s">
        <v>54</v>
      </c>
      <c r="C8" s="3" t="s">
        <v>55</v>
      </c>
      <c r="D8" s="3"/>
      <c r="E8" s="3" t="s">
        <v>45</v>
      </c>
      <c r="F8"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7" min="1" style="0" width="25"/>
  </cols>
  <sheetData>
    <row r="1" customFormat="false" ht="15" hidden="false" customHeight="false" outlineLevel="0" collapsed="false">
      <c r="A1" s="1" t="s">
        <v>40</v>
      </c>
      <c r="B1" s="1" t="s">
        <v>43</v>
      </c>
      <c r="C1" s="1" t="s">
        <v>46</v>
      </c>
      <c r="D1" s="1" t="s">
        <v>49</v>
      </c>
      <c r="E1" s="1" t="s">
        <v>31</v>
      </c>
      <c r="F1" s="1" t="s">
        <v>35</v>
      </c>
      <c r="G1" s="1" t="s">
        <v>54</v>
      </c>
    </row>
    <row r="2" customFormat="false" ht="15" hidden="false" customHeight="false" outlineLevel="0" collapsed="false">
      <c r="A2" s="3" t="s">
        <v>56</v>
      </c>
      <c r="B2" s="3" t="s">
        <v>57</v>
      </c>
      <c r="C2" s="3" t="s">
        <v>58</v>
      </c>
      <c r="D2" s="3" t="s">
        <v>59</v>
      </c>
      <c r="E2" s="0" t="n">
        <v>436.59</v>
      </c>
      <c r="F2" s="0" t="n">
        <v>456.84</v>
      </c>
      <c r="G2" s="3" t="s">
        <v>60</v>
      </c>
    </row>
    <row r="3" customFormat="false" ht="15" hidden="false" customHeight="false" outlineLevel="0" collapsed="false">
      <c r="A3" s="3" t="s">
        <v>61</v>
      </c>
      <c r="B3" s="3" t="s">
        <v>62</v>
      </c>
      <c r="C3" s="3" t="s">
        <v>63</v>
      </c>
      <c r="D3" s="3" t="s">
        <v>64</v>
      </c>
      <c r="E3" s="0" t="n">
        <v>1382.13</v>
      </c>
      <c r="F3" s="0" t="n">
        <v>1422.61</v>
      </c>
      <c r="G3" s="3" t="s">
        <v>60</v>
      </c>
    </row>
    <row r="4" customFormat="false" ht="15" hidden="false" customHeight="false" outlineLevel="0" collapsed="false">
      <c r="A4" s="3" t="s">
        <v>65</v>
      </c>
      <c r="B4" s="3" t="s">
        <v>66</v>
      </c>
      <c r="C4" s="3" t="s">
        <v>34</v>
      </c>
      <c r="D4" s="3" t="s">
        <v>59</v>
      </c>
      <c r="E4" s="0" t="n">
        <v>222.32</v>
      </c>
      <c r="F4" s="0" t="n">
        <v>226.78</v>
      </c>
      <c r="G4" s="3" t="s">
        <v>67</v>
      </c>
    </row>
    <row r="5" customFormat="false" ht="15" hidden="false" customHeight="false" outlineLevel="0" collapsed="false">
      <c r="A5" s="3" t="s">
        <v>68</v>
      </c>
      <c r="B5" s="3" t="s">
        <v>69</v>
      </c>
      <c r="C5" s="3" t="s">
        <v>70</v>
      </c>
      <c r="D5" s="3" t="s">
        <v>64</v>
      </c>
      <c r="E5" s="0" t="n">
        <v>1281.95</v>
      </c>
      <c r="F5" s="0" t="n">
        <v>1208.24</v>
      </c>
      <c r="G5" s="3" t="s">
        <v>71</v>
      </c>
    </row>
    <row r="6" customFormat="false" ht="15" hidden="false" customHeight="false" outlineLevel="0" collapsed="false">
      <c r="A6" s="3" t="s">
        <v>72</v>
      </c>
      <c r="B6" s="3" t="s">
        <v>73</v>
      </c>
      <c r="C6" s="3" t="s">
        <v>74</v>
      </c>
      <c r="D6" s="3" t="s">
        <v>59</v>
      </c>
      <c r="E6" s="0" t="n">
        <v>93.98</v>
      </c>
      <c r="F6" s="0" t="n">
        <v>91.53</v>
      </c>
      <c r="G6" s="3" t="s">
        <v>67</v>
      </c>
    </row>
    <row r="7" customFormat="false" ht="15" hidden="false" customHeight="false" outlineLevel="0" collapsed="false">
      <c r="A7" s="3" t="s">
        <v>75</v>
      </c>
      <c r="B7" s="3" t="s">
        <v>76</v>
      </c>
      <c r="C7" s="3" t="s">
        <v>77</v>
      </c>
      <c r="D7" s="3" t="s">
        <v>64</v>
      </c>
      <c r="E7" s="0" t="n">
        <v>136.18</v>
      </c>
      <c r="F7" s="0" t="n">
        <v>125.48</v>
      </c>
      <c r="G7" s="3" t="s">
        <v>71</v>
      </c>
    </row>
    <row r="8" customFormat="false" ht="15" hidden="false" customHeight="false" outlineLevel="0" collapsed="false">
      <c r="A8" s="3" t="s">
        <v>78</v>
      </c>
      <c r="B8" s="3" t="s">
        <v>79</v>
      </c>
      <c r="C8" s="3" t="s">
        <v>80</v>
      </c>
      <c r="D8" s="3" t="s">
        <v>59</v>
      </c>
      <c r="E8" s="0" t="n">
        <v>401.53</v>
      </c>
      <c r="F8" s="0" t="n">
        <v>412.13</v>
      </c>
      <c r="G8" s="3" t="s">
        <v>60</v>
      </c>
    </row>
    <row r="9" customFormat="false" ht="15" hidden="false" customHeight="false" outlineLevel="0" collapsed="false">
      <c r="A9" s="3" t="s">
        <v>81</v>
      </c>
      <c r="B9" s="3" t="s">
        <v>82</v>
      </c>
      <c r="C9" s="3" t="s">
        <v>83</v>
      </c>
      <c r="D9" s="3" t="s">
        <v>64</v>
      </c>
      <c r="E9" s="0" t="n">
        <v>2062.37</v>
      </c>
      <c r="F9" s="0" t="n">
        <v>2221.41</v>
      </c>
      <c r="G9" s="3" t="s">
        <v>67</v>
      </c>
    </row>
    <row r="10" customFormat="false" ht="15" hidden="false" customHeight="false" outlineLevel="0" collapsed="false">
      <c r="A10" s="3" t="s">
        <v>84</v>
      </c>
      <c r="B10" s="3" t="s">
        <v>85</v>
      </c>
      <c r="C10" s="3" t="s">
        <v>86</v>
      </c>
      <c r="D10" s="3" t="s">
        <v>59</v>
      </c>
      <c r="E10" s="0" t="n">
        <v>2.03</v>
      </c>
      <c r="F10" s="0" t="n">
        <v>1.92</v>
      </c>
      <c r="G10" s="3" t="s">
        <v>67</v>
      </c>
    </row>
    <row r="11" customFormat="false" ht="15" hidden="false" customHeight="false" outlineLevel="0" collapsed="false">
      <c r="A11" s="3" t="s">
        <v>87</v>
      </c>
      <c r="B11" s="3" t="s">
        <v>88</v>
      </c>
      <c r="C11" s="3" t="s">
        <v>89</v>
      </c>
      <c r="D11" s="3" t="s">
        <v>59</v>
      </c>
      <c r="E11" s="0" t="n">
        <v>388.86</v>
      </c>
      <c r="F11" s="0" t="n">
        <v>375.59</v>
      </c>
      <c r="G11" s="3" t="s">
        <v>60</v>
      </c>
    </row>
    <row r="12" customFormat="false" ht="15" hidden="false" customHeight="false" outlineLevel="0" collapsed="false">
      <c r="A12" s="3" t="s">
        <v>90</v>
      </c>
      <c r="B12" s="3" t="s">
        <v>91</v>
      </c>
      <c r="C12" s="3" t="s">
        <v>92</v>
      </c>
      <c r="D12" s="3" t="s">
        <v>59</v>
      </c>
      <c r="E12" s="0" t="n">
        <v>398.05</v>
      </c>
      <c r="F12" s="0" t="n">
        <v>374.41</v>
      </c>
      <c r="G12" s="3" t="s">
        <v>60</v>
      </c>
    </row>
    <row r="13" customFormat="false" ht="15" hidden="false" customHeight="false" outlineLevel="0" collapsed="false">
      <c r="A13" s="3" t="s">
        <v>93</v>
      </c>
      <c r="B13" s="3" t="s">
        <v>94</v>
      </c>
      <c r="C13" s="3" t="s">
        <v>95</v>
      </c>
      <c r="D13" s="3" t="s">
        <v>59</v>
      </c>
      <c r="E13" s="0" t="n">
        <v>380.33</v>
      </c>
      <c r="F13" s="0" t="n">
        <v>401.02</v>
      </c>
      <c r="G13" s="3" t="s">
        <v>60</v>
      </c>
    </row>
    <row r="14" customFormat="false" ht="15" hidden="false" customHeight="false" outlineLevel="0" collapsed="false">
      <c r="A14" s="3" t="s">
        <v>96</v>
      </c>
      <c r="B14" s="3" t="s">
        <v>97</v>
      </c>
      <c r="C14" s="3" t="s">
        <v>98</v>
      </c>
      <c r="D14" s="3" t="s">
        <v>64</v>
      </c>
      <c r="E14" s="0" t="n">
        <v>2387.16</v>
      </c>
      <c r="F14" s="0" t="n">
        <v>2422.07</v>
      </c>
      <c r="G14" s="3" t="s">
        <v>60</v>
      </c>
    </row>
    <row r="15" customFormat="false" ht="15" hidden="false" customHeight="false" outlineLevel="0" collapsed="false">
      <c r="A15" s="3" t="s">
        <v>99</v>
      </c>
      <c r="B15" s="3" t="s">
        <v>100</v>
      </c>
      <c r="C15" s="3" t="s">
        <v>101</v>
      </c>
      <c r="D15" s="3" t="s">
        <v>59</v>
      </c>
      <c r="E15" s="0" t="n">
        <v>434.07</v>
      </c>
      <c r="F15" s="0" t="n">
        <v>448</v>
      </c>
      <c r="G15" s="3" t="s">
        <v>60</v>
      </c>
    </row>
    <row r="16" customFormat="false" ht="15" hidden="false" customHeight="false" outlineLevel="0" collapsed="false">
      <c r="A16" s="3" t="s">
        <v>102</v>
      </c>
      <c r="B16" s="3" t="s">
        <v>103</v>
      </c>
      <c r="C16" s="3" t="s">
        <v>104</v>
      </c>
      <c r="D16" s="3" t="s">
        <v>64</v>
      </c>
      <c r="E16" s="0" t="n">
        <v>2402.72</v>
      </c>
      <c r="F16" s="0" t="n">
        <v>2351.49</v>
      </c>
      <c r="G16" s="3" t="s">
        <v>67</v>
      </c>
    </row>
    <row r="17" customFormat="false" ht="15" hidden="false" customHeight="false" outlineLevel="0" collapsed="false">
      <c r="A17" s="3" t="s">
        <v>105</v>
      </c>
      <c r="B17" s="3" t="s">
        <v>106</v>
      </c>
      <c r="C17" s="3" t="s">
        <v>107</v>
      </c>
      <c r="D17" s="3" t="s">
        <v>59</v>
      </c>
      <c r="E17" s="0" t="n">
        <v>340.31</v>
      </c>
      <c r="F17" s="0" t="n">
        <v>365.77</v>
      </c>
      <c r="G17" s="3" t="s">
        <v>71</v>
      </c>
    </row>
    <row r="18" customFormat="false" ht="15" hidden="false" customHeight="false" outlineLevel="0" collapsed="false">
      <c r="A18" s="3" t="s">
        <v>108</v>
      </c>
      <c r="B18" s="3" t="s">
        <v>109</v>
      </c>
      <c r="C18" s="3" t="s">
        <v>110</v>
      </c>
      <c r="D18" s="3" t="s">
        <v>64</v>
      </c>
      <c r="E18" s="0" t="n">
        <v>582.24</v>
      </c>
      <c r="F18" s="0" t="n">
        <v>602.88</v>
      </c>
      <c r="G18" s="3" t="s">
        <v>71</v>
      </c>
    </row>
    <row r="19" customFormat="false" ht="15" hidden="false" customHeight="false" outlineLevel="0" collapsed="false">
      <c r="A19" s="3" t="s">
        <v>111</v>
      </c>
      <c r="B19" s="3" t="s">
        <v>112</v>
      </c>
      <c r="C19" s="3" t="s">
        <v>113</v>
      </c>
      <c r="D19" s="3" t="s">
        <v>64</v>
      </c>
      <c r="E19" s="0" t="n">
        <v>157.97</v>
      </c>
      <c r="F19" s="0" t="n">
        <v>166.55</v>
      </c>
      <c r="G19" s="3" t="s">
        <v>67</v>
      </c>
    </row>
    <row r="20" customFormat="false" ht="15" hidden="false" customHeight="false" outlineLevel="0" collapsed="false">
      <c r="A20" s="3" t="s">
        <v>114</v>
      </c>
      <c r="B20" s="3" t="s">
        <v>115</v>
      </c>
      <c r="C20" s="3" t="s">
        <v>116</v>
      </c>
      <c r="D20" s="3" t="s">
        <v>59</v>
      </c>
      <c r="E20" s="0" t="n">
        <v>169.35</v>
      </c>
      <c r="F20" s="0" t="n">
        <v>157.59</v>
      </c>
      <c r="G20" s="3" t="s">
        <v>71</v>
      </c>
    </row>
    <row r="21" customFormat="false" ht="15" hidden="false" customHeight="false" outlineLevel="0" collapsed="false">
      <c r="A21" s="3" t="s">
        <v>117</v>
      </c>
      <c r="B21" s="3" t="s">
        <v>118</v>
      </c>
      <c r="C21" s="3" t="s">
        <v>119</v>
      </c>
      <c r="D21" s="3" t="s">
        <v>59</v>
      </c>
      <c r="E21" s="0" t="n">
        <v>308.1</v>
      </c>
      <c r="F21" s="0" t="n">
        <v>320.04</v>
      </c>
      <c r="G21" s="3" t="s">
        <v>60</v>
      </c>
    </row>
    <row r="22" customFormat="false" ht="15" hidden="false" customHeight="false" outlineLevel="0" collapsed="false">
      <c r="A22" s="3" t="s">
        <v>120</v>
      </c>
      <c r="B22" s="3" t="s">
        <v>121</v>
      </c>
      <c r="C22" s="3" t="s">
        <v>122</v>
      </c>
      <c r="D22" s="3" t="s">
        <v>59</v>
      </c>
      <c r="E22" s="0" t="n">
        <v>29.22</v>
      </c>
      <c r="F22" s="0" t="n">
        <v>29.95</v>
      </c>
      <c r="G22" s="3" t="s">
        <v>60</v>
      </c>
    </row>
    <row r="23" customFormat="false" ht="15" hidden="false" customHeight="false" outlineLevel="0" collapsed="false">
      <c r="A23" s="3" t="s">
        <v>123</v>
      </c>
      <c r="B23" s="3" t="s">
        <v>124</v>
      </c>
      <c r="C23" s="3" t="s">
        <v>125</v>
      </c>
      <c r="D23" s="3" t="s">
        <v>59</v>
      </c>
      <c r="E23" s="0" t="n">
        <v>444.33</v>
      </c>
      <c r="F23" s="0" t="n">
        <v>466.04</v>
      </c>
      <c r="G23" s="3" t="s">
        <v>71</v>
      </c>
    </row>
    <row r="24" customFormat="false" ht="15" hidden="false" customHeight="false" outlineLevel="0" collapsed="false">
      <c r="A24" s="3" t="s">
        <v>126</v>
      </c>
      <c r="B24" s="3" t="s">
        <v>127</v>
      </c>
      <c r="C24" s="3" t="s">
        <v>128</v>
      </c>
      <c r="D24" s="3" t="s">
        <v>64</v>
      </c>
      <c r="E24" s="0" t="n">
        <v>233.86</v>
      </c>
      <c r="F24" s="0" t="n">
        <v>223.18</v>
      </c>
      <c r="G24" s="3" t="s">
        <v>71</v>
      </c>
    </row>
    <row r="25" customFormat="false" ht="15" hidden="false" customHeight="false" outlineLevel="0" collapsed="false">
      <c r="A25" s="3" t="s">
        <v>129</v>
      </c>
      <c r="B25" s="3" t="s">
        <v>130</v>
      </c>
      <c r="C25" s="3" t="s">
        <v>131</v>
      </c>
      <c r="D25" s="3" t="s">
        <v>64</v>
      </c>
      <c r="E25" s="0" t="n">
        <v>1385.67</v>
      </c>
      <c r="F25" s="0" t="n">
        <v>1422.68</v>
      </c>
      <c r="G25" s="3" t="s">
        <v>67</v>
      </c>
    </row>
    <row r="26" customFormat="false" ht="15" hidden="false" customHeight="false" outlineLevel="0" collapsed="false">
      <c r="A26" s="3" t="s">
        <v>132</v>
      </c>
      <c r="B26" s="3" t="s">
        <v>133</v>
      </c>
      <c r="C26" s="3" t="s">
        <v>134</v>
      </c>
      <c r="D26" s="3" t="s">
        <v>59</v>
      </c>
      <c r="E26" s="0" t="n">
        <v>319.03</v>
      </c>
      <c r="F26" s="0" t="n">
        <v>323.94</v>
      </c>
      <c r="G26" s="3" t="s">
        <v>60</v>
      </c>
    </row>
    <row r="27" customFormat="false" ht="15" hidden="false" customHeight="false" outlineLevel="0" collapsed="false">
      <c r="A27" s="3" t="s">
        <v>135</v>
      </c>
      <c r="B27" s="3" t="s">
        <v>136</v>
      </c>
      <c r="C27" s="3" t="s">
        <v>137</v>
      </c>
      <c r="D27" s="3" t="s">
        <v>59</v>
      </c>
      <c r="E27" s="0" t="n">
        <v>390.06</v>
      </c>
      <c r="F27" s="0" t="n">
        <v>366.86</v>
      </c>
      <c r="G27" s="3" t="s">
        <v>71</v>
      </c>
    </row>
    <row r="28" customFormat="false" ht="15" hidden="false" customHeight="false" outlineLevel="0" collapsed="false">
      <c r="A28" s="3" t="s">
        <v>138</v>
      </c>
      <c r="B28" s="3" t="s">
        <v>139</v>
      </c>
      <c r="C28" s="3" t="s">
        <v>140</v>
      </c>
      <c r="D28" s="3" t="s">
        <v>59</v>
      </c>
      <c r="E28" s="0" t="n">
        <v>69.55</v>
      </c>
      <c r="F28" s="0" t="n">
        <v>71.72</v>
      </c>
      <c r="G28" s="3" t="s">
        <v>67</v>
      </c>
    </row>
    <row r="29" customFormat="false" ht="15" hidden="false" customHeight="false" outlineLevel="0" collapsed="false">
      <c r="A29" s="3" t="s">
        <v>141</v>
      </c>
      <c r="B29" s="3" t="s">
        <v>142</v>
      </c>
      <c r="C29" s="3" t="s">
        <v>143</v>
      </c>
      <c r="D29" s="3" t="s">
        <v>59</v>
      </c>
      <c r="E29" s="0" t="n">
        <v>250.81</v>
      </c>
      <c r="F29" s="0" t="n">
        <v>250.67</v>
      </c>
      <c r="G29" s="3" t="s">
        <v>71</v>
      </c>
    </row>
    <row r="30" customFormat="false" ht="15" hidden="false" customHeight="false" outlineLevel="0" collapsed="false">
      <c r="A30" s="3" t="s">
        <v>144</v>
      </c>
      <c r="B30" s="3" t="s">
        <v>145</v>
      </c>
      <c r="C30" s="3" t="s">
        <v>146</v>
      </c>
      <c r="D30" s="3" t="s">
        <v>64</v>
      </c>
      <c r="E30" s="0" t="n">
        <v>2649.55</v>
      </c>
      <c r="F30" s="0" t="n">
        <v>2444.83</v>
      </c>
      <c r="G30" s="3" t="s">
        <v>71</v>
      </c>
    </row>
    <row r="31" customFormat="false" ht="15" hidden="false" customHeight="false" outlineLevel="0" collapsed="false">
      <c r="A31" s="3" t="s">
        <v>147</v>
      </c>
      <c r="B31" s="3" t="s">
        <v>148</v>
      </c>
      <c r="C31" s="3" t="s">
        <v>149</v>
      </c>
      <c r="D31" s="3" t="s">
        <v>59</v>
      </c>
      <c r="E31" s="0" t="n">
        <v>65.6</v>
      </c>
      <c r="F31" s="0" t="n">
        <v>61.37</v>
      </c>
      <c r="G31" s="3" t="s">
        <v>67</v>
      </c>
    </row>
    <row r="32" customFormat="false" ht="15" hidden="false" customHeight="false" outlineLevel="0" collapsed="false">
      <c r="A32" s="3" t="s">
        <v>150</v>
      </c>
      <c r="B32" s="3" t="s">
        <v>151</v>
      </c>
      <c r="C32" s="3" t="s">
        <v>152</v>
      </c>
      <c r="D32" s="3" t="s">
        <v>59</v>
      </c>
      <c r="E32" s="0" t="n">
        <v>417.18</v>
      </c>
      <c r="F32" s="0" t="n">
        <v>448.48</v>
      </c>
      <c r="G32" s="3" t="s">
        <v>71</v>
      </c>
    </row>
    <row r="33" customFormat="false" ht="15" hidden="false" customHeight="false" outlineLevel="0" collapsed="false">
      <c r="A33" s="3" t="s">
        <v>153</v>
      </c>
      <c r="B33" s="3" t="s">
        <v>154</v>
      </c>
      <c r="C33" s="3" t="s">
        <v>155</v>
      </c>
      <c r="D33" s="3" t="s">
        <v>64</v>
      </c>
      <c r="E33" s="0" t="n">
        <v>2446.23</v>
      </c>
      <c r="F33" s="0" t="n">
        <v>2296.97</v>
      </c>
      <c r="G33" s="3" t="s">
        <v>67</v>
      </c>
    </row>
    <row r="34" customFormat="false" ht="15" hidden="false" customHeight="false" outlineLevel="0" collapsed="false">
      <c r="A34" s="3" t="s">
        <v>156</v>
      </c>
      <c r="B34" s="3" t="s">
        <v>157</v>
      </c>
      <c r="C34" s="3" t="s">
        <v>34</v>
      </c>
      <c r="D34" s="3" t="s">
        <v>64</v>
      </c>
      <c r="E34" s="0" t="n">
        <v>1805.92</v>
      </c>
      <c r="F34" s="0" t="n">
        <v>1741.04</v>
      </c>
      <c r="G34" s="3" t="s">
        <v>71</v>
      </c>
    </row>
    <row r="35" customFormat="false" ht="15" hidden="false" customHeight="false" outlineLevel="0" collapsed="false">
      <c r="A35" s="3" t="s">
        <v>158</v>
      </c>
      <c r="B35" s="3" t="s">
        <v>159</v>
      </c>
      <c r="C35" s="3" t="s">
        <v>160</v>
      </c>
      <c r="D35" s="3" t="s">
        <v>64</v>
      </c>
      <c r="E35" s="0" t="n">
        <v>180.44</v>
      </c>
      <c r="F35" s="0" t="n">
        <v>178.24</v>
      </c>
      <c r="G35" s="3" t="s">
        <v>67</v>
      </c>
    </row>
    <row r="36" customFormat="false" ht="15" hidden="false" customHeight="false" outlineLevel="0" collapsed="false">
      <c r="A36" s="3" t="s">
        <v>161</v>
      </c>
      <c r="B36" s="3" t="s">
        <v>162</v>
      </c>
      <c r="C36" s="3" t="s">
        <v>163</v>
      </c>
      <c r="D36" s="3" t="s">
        <v>64</v>
      </c>
      <c r="E36" s="0" t="n">
        <v>1399.09</v>
      </c>
      <c r="F36" s="0" t="n">
        <v>1367.53</v>
      </c>
      <c r="G36" s="3" t="s">
        <v>60</v>
      </c>
    </row>
    <row r="37" customFormat="false" ht="15" hidden="false" customHeight="false" outlineLevel="0" collapsed="false">
      <c r="A37" s="3" t="s">
        <v>164</v>
      </c>
      <c r="B37" s="3" t="s">
        <v>165</v>
      </c>
      <c r="C37" s="3" t="s">
        <v>98</v>
      </c>
      <c r="D37" s="3" t="s">
        <v>64</v>
      </c>
      <c r="E37" s="0" t="n">
        <v>704.53</v>
      </c>
      <c r="F37" s="0" t="n">
        <v>684.99</v>
      </c>
      <c r="G37" s="3" t="s">
        <v>67</v>
      </c>
    </row>
    <row r="38" customFormat="false" ht="15" hidden="false" customHeight="false" outlineLevel="0" collapsed="false">
      <c r="A38" s="3" t="s">
        <v>166</v>
      </c>
      <c r="B38" s="3" t="s">
        <v>167</v>
      </c>
      <c r="C38" s="3" t="s">
        <v>168</v>
      </c>
      <c r="D38" s="3" t="s">
        <v>64</v>
      </c>
      <c r="E38" s="0" t="n">
        <v>1211.33</v>
      </c>
      <c r="F38" s="0" t="n">
        <v>1185.49</v>
      </c>
      <c r="G38" s="3" t="s">
        <v>67</v>
      </c>
    </row>
    <row r="39" customFormat="false" ht="15" hidden="false" customHeight="false" outlineLevel="0" collapsed="false">
      <c r="A39" s="3" t="s">
        <v>169</v>
      </c>
      <c r="B39" s="3" t="s">
        <v>170</v>
      </c>
      <c r="C39" s="3" t="s">
        <v>171</v>
      </c>
      <c r="D39" s="3" t="s">
        <v>59</v>
      </c>
      <c r="E39" s="0" t="n">
        <v>95.67</v>
      </c>
      <c r="F39" s="0" t="n">
        <v>92.71</v>
      </c>
      <c r="G39" s="3" t="s">
        <v>67</v>
      </c>
    </row>
    <row r="40" customFormat="false" ht="15" hidden="false" customHeight="false" outlineLevel="0" collapsed="false">
      <c r="A40" s="3" t="s">
        <v>172</v>
      </c>
      <c r="B40" s="3" t="s">
        <v>173</v>
      </c>
      <c r="C40" s="3" t="s">
        <v>174</v>
      </c>
      <c r="D40" s="3" t="s">
        <v>64</v>
      </c>
      <c r="E40" s="0" t="n">
        <v>2451.86</v>
      </c>
      <c r="F40" s="0" t="n">
        <v>2618.2</v>
      </c>
      <c r="G40" s="3" t="s">
        <v>60</v>
      </c>
    </row>
    <row r="41" customFormat="false" ht="15" hidden="false" customHeight="false" outlineLevel="0" collapsed="false">
      <c r="A41" s="3" t="s">
        <v>175</v>
      </c>
      <c r="B41" s="3" t="s">
        <v>176</v>
      </c>
      <c r="C41" s="3" t="s">
        <v>177</v>
      </c>
      <c r="D41" s="3" t="s">
        <v>64</v>
      </c>
      <c r="E41" s="0" t="n">
        <v>76.57</v>
      </c>
      <c r="F41" s="0" t="n">
        <v>73.04</v>
      </c>
      <c r="G41" s="3" t="s">
        <v>71</v>
      </c>
    </row>
    <row r="42" customFormat="false" ht="15" hidden="false" customHeight="false" outlineLevel="0" collapsed="false">
      <c r="A42" s="3" t="s">
        <v>178</v>
      </c>
      <c r="B42" s="3" t="s">
        <v>179</v>
      </c>
      <c r="C42" s="3" t="s">
        <v>180</v>
      </c>
      <c r="D42" s="3" t="s">
        <v>59</v>
      </c>
      <c r="E42" s="0" t="n">
        <v>199.8</v>
      </c>
      <c r="F42" s="0" t="n">
        <v>184.68</v>
      </c>
      <c r="G42" s="3" t="s">
        <v>60</v>
      </c>
    </row>
    <row r="43" customFormat="false" ht="15" hidden="false" customHeight="false" outlineLevel="0" collapsed="false">
      <c r="A43" s="3" t="s">
        <v>181</v>
      </c>
      <c r="B43" s="3" t="s">
        <v>182</v>
      </c>
      <c r="C43" s="3" t="s">
        <v>183</v>
      </c>
      <c r="D43" s="3" t="s">
        <v>59</v>
      </c>
      <c r="E43" s="0" t="n">
        <v>50.95</v>
      </c>
      <c r="F43" s="0" t="n">
        <v>54.55</v>
      </c>
      <c r="G43" s="3" t="s">
        <v>67</v>
      </c>
    </row>
    <row r="44" customFormat="false" ht="15" hidden="false" customHeight="false" outlineLevel="0" collapsed="false">
      <c r="A44" s="3" t="s">
        <v>184</v>
      </c>
      <c r="B44" s="3" t="s">
        <v>185</v>
      </c>
      <c r="C44" s="3" t="s">
        <v>186</v>
      </c>
      <c r="D44" s="3" t="s">
        <v>64</v>
      </c>
      <c r="E44" s="0" t="n">
        <v>278.56</v>
      </c>
      <c r="F44" s="0" t="n">
        <v>295.86</v>
      </c>
      <c r="G44" s="3" t="s">
        <v>67</v>
      </c>
    </row>
    <row r="45" customFormat="false" ht="15" hidden="false" customHeight="false" outlineLevel="0" collapsed="false">
      <c r="A45" s="3" t="s">
        <v>187</v>
      </c>
      <c r="B45" s="3" t="s">
        <v>188</v>
      </c>
      <c r="C45" s="3" t="s">
        <v>189</v>
      </c>
      <c r="D45" s="3" t="s">
        <v>59</v>
      </c>
      <c r="E45" s="0" t="n">
        <v>367.75</v>
      </c>
      <c r="F45" s="0" t="n">
        <v>384.14</v>
      </c>
      <c r="G45" s="3" t="s">
        <v>71</v>
      </c>
    </row>
    <row r="46" customFormat="false" ht="15" hidden="false" customHeight="false" outlineLevel="0" collapsed="false">
      <c r="A46" s="3" t="s">
        <v>190</v>
      </c>
      <c r="B46" s="3" t="s">
        <v>191</v>
      </c>
      <c r="C46" s="3" t="s">
        <v>192</v>
      </c>
      <c r="D46" s="3" t="s">
        <v>59</v>
      </c>
      <c r="E46" s="0" t="n">
        <v>289.64</v>
      </c>
      <c r="F46" s="0" t="n">
        <v>267.66</v>
      </c>
      <c r="G46" s="3" t="s">
        <v>60</v>
      </c>
    </row>
    <row r="47" customFormat="false" ht="15" hidden="false" customHeight="false" outlineLevel="0" collapsed="false">
      <c r="A47" s="3" t="s">
        <v>193</v>
      </c>
      <c r="B47" s="3" t="s">
        <v>194</v>
      </c>
      <c r="C47" s="3" t="s">
        <v>195</v>
      </c>
      <c r="D47" s="3" t="s">
        <v>59</v>
      </c>
      <c r="E47" s="0" t="n">
        <v>59.15</v>
      </c>
      <c r="F47" s="0" t="n">
        <v>63.79</v>
      </c>
      <c r="G47" s="3" t="s">
        <v>71</v>
      </c>
    </row>
    <row r="48" customFormat="false" ht="15" hidden="false" customHeight="false" outlineLevel="0" collapsed="false">
      <c r="A48" s="3" t="s">
        <v>196</v>
      </c>
      <c r="B48" s="3" t="s">
        <v>197</v>
      </c>
      <c r="C48" s="3" t="s">
        <v>198</v>
      </c>
      <c r="D48" s="3" t="s">
        <v>64</v>
      </c>
      <c r="E48" s="0" t="n">
        <v>2454.91</v>
      </c>
      <c r="F48" s="0" t="n">
        <v>2623.88</v>
      </c>
      <c r="G48" s="3" t="s">
        <v>67</v>
      </c>
    </row>
    <row r="49" customFormat="false" ht="15" hidden="false" customHeight="false" outlineLevel="0" collapsed="false">
      <c r="A49" s="3" t="s">
        <v>199</v>
      </c>
      <c r="B49" s="3" t="s">
        <v>200</v>
      </c>
      <c r="C49" s="3" t="s">
        <v>201</v>
      </c>
      <c r="D49" s="3" t="s">
        <v>59</v>
      </c>
      <c r="E49" s="0" t="n">
        <v>390.09</v>
      </c>
      <c r="F49" s="0" t="n">
        <v>385.25</v>
      </c>
      <c r="G49" s="3" t="s">
        <v>67</v>
      </c>
    </row>
    <row r="50" customFormat="false" ht="15" hidden="false" customHeight="false" outlineLevel="0" collapsed="false">
      <c r="A50" s="3" t="s">
        <v>202</v>
      </c>
      <c r="B50" s="3" t="s">
        <v>203</v>
      </c>
      <c r="C50" s="3" t="s">
        <v>204</v>
      </c>
      <c r="D50" s="3" t="s">
        <v>59</v>
      </c>
      <c r="E50" s="0" t="n">
        <v>336.95</v>
      </c>
      <c r="F50" s="0" t="n">
        <v>329.5</v>
      </c>
      <c r="G50" s="3" t="s">
        <v>67</v>
      </c>
    </row>
    <row r="51" customFormat="false" ht="15" hidden="false" customHeight="false" outlineLevel="0" collapsed="false">
      <c r="A51" s="3" t="s">
        <v>205</v>
      </c>
      <c r="B51" s="3" t="s">
        <v>206</v>
      </c>
      <c r="C51" s="3" t="s">
        <v>207</v>
      </c>
      <c r="D51" s="3" t="s">
        <v>64</v>
      </c>
      <c r="E51" s="0" t="n">
        <v>2242.23</v>
      </c>
      <c r="F51" s="0" t="n">
        <v>2120.95</v>
      </c>
      <c r="G51" s="3" t="s">
        <v>60</v>
      </c>
    </row>
    <row r="52" customFormat="false" ht="15" hidden="false" customHeight="false" outlineLevel="0" collapsed="false">
      <c r="A52" s="3" t="s">
        <v>208</v>
      </c>
      <c r="B52" s="3" t="s">
        <v>209</v>
      </c>
      <c r="C52" s="3" t="s">
        <v>210</v>
      </c>
      <c r="D52" s="3" t="s">
        <v>59</v>
      </c>
      <c r="E52" s="0" t="n">
        <v>440.52</v>
      </c>
      <c r="F52" s="0" t="n">
        <v>421.55</v>
      </c>
      <c r="G52" s="3" t="s">
        <v>67</v>
      </c>
    </row>
    <row r="53" customFormat="false" ht="15" hidden="false" customHeight="false" outlineLevel="0" collapsed="false">
      <c r="A53" s="3" t="s">
        <v>211</v>
      </c>
      <c r="B53" s="3" t="s">
        <v>212</v>
      </c>
      <c r="C53" s="3" t="s">
        <v>213</v>
      </c>
      <c r="D53" s="3" t="s">
        <v>59</v>
      </c>
      <c r="E53" s="0" t="n">
        <v>248.14</v>
      </c>
      <c r="F53" s="0" t="n">
        <v>247.94</v>
      </c>
      <c r="G53" s="3" t="s">
        <v>71</v>
      </c>
    </row>
    <row r="54" customFormat="false" ht="15" hidden="false" customHeight="false" outlineLevel="0" collapsed="false">
      <c r="A54" s="3" t="s">
        <v>214</v>
      </c>
      <c r="B54" s="3" t="s">
        <v>215</v>
      </c>
      <c r="C54" s="3" t="s">
        <v>216</v>
      </c>
      <c r="D54" s="3" t="s">
        <v>64</v>
      </c>
      <c r="E54" s="0" t="n">
        <v>1630.47</v>
      </c>
      <c r="F54" s="0" t="n">
        <v>1515.77</v>
      </c>
      <c r="G54" s="3" t="s">
        <v>67</v>
      </c>
    </row>
    <row r="55" customFormat="false" ht="15" hidden="false" customHeight="false" outlineLevel="0" collapsed="false">
      <c r="A55" s="3" t="s">
        <v>217</v>
      </c>
      <c r="B55" s="3" t="s">
        <v>218</v>
      </c>
      <c r="C55" s="3" t="s">
        <v>219</v>
      </c>
      <c r="D55" s="3" t="s">
        <v>64</v>
      </c>
      <c r="E55" s="0" t="n">
        <v>2948.28</v>
      </c>
      <c r="F55" s="0" t="n">
        <v>2995.01</v>
      </c>
      <c r="G55" s="3" t="s">
        <v>71</v>
      </c>
    </row>
    <row r="56" customFormat="false" ht="15" hidden="false" customHeight="false" outlineLevel="0" collapsed="false">
      <c r="A56" s="3" t="s">
        <v>220</v>
      </c>
      <c r="B56" s="3" t="s">
        <v>221</v>
      </c>
      <c r="C56" s="3" t="s">
        <v>222</v>
      </c>
      <c r="D56" s="3" t="s">
        <v>64</v>
      </c>
      <c r="E56" s="0" t="n">
        <v>1431.93</v>
      </c>
      <c r="F56" s="0" t="n">
        <v>1331.47</v>
      </c>
      <c r="G56" s="3" t="s">
        <v>71</v>
      </c>
    </row>
    <row r="57" customFormat="false" ht="15" hidden="false" customHeight="false" outlineLevel="0" collapsed="false">
      <c r="A57" s="3" t="s">
        <v>223</v>
      </c>
      <c r="B57" s="3" t="s">
        <v>224</v>
      </c>
      <c r="C57" s="3" t="s">
        <v>225</v>
      </c>
      <c r="D57" s="3" t="s">
        <v>64</v>
      </c>
      <c r="E57" s="0" t="n">
        <v>1537</v>
      </c>
      <c r="F57" s="0" t="n">
        <v>1590.82</v>
      </c>
      <c r="G57" s="3" t="s">
        <v>67</v>
      </c>
    </row>
    <row r="58" customFormat="false" ht="15" hidden="false" customHeight="false" outlineLevel="0" collapsed="false">
      <c r="A58" s="3" t="s">
        <v>226</v>
      </c>
      <c r="B58" s="3" t="s">
        <v>227</v>
      </c>
      <c r="C58" s="3" t="s">
        <v>228</v>
      </c>
      <c r="D58" s="3" t="s">
        <v>59</v>
      </c>
      <c r="E58" s="0" t="n">
        <v>122.12</v>
      </c>
      <c r="F58" s="0" t="n">
        <v>131.19</v>
      </c>
      <c r="G58" s="3" t="s">
        <v>60</v>
      </c>
    </row>
    <row r="59" customFormat="false" ht="15" hidden="false" customHeight="false" outlineLevel="0" collapsed="false">
      <c r="A59" s="3" t="s">
        <v>229</v>
      </c>
      <c r="B59" s="3" t="s">
        <v>230</v>
      </c>
      <c r="C59" s="3" t="s">
        <v>231</v>
      </c>
      <c r="D59" s="3" t="s">
        <v>64</v>
      </c>
      <c r="E59" s="0" t="n">
        <v>1984.65</v>
      </c>
      <c r="F59" s="0" t="n">
        <v>1962.81</v>
      </c>
      <c r="G59" s="3" t="s">
        <v>67</v>
      </c>
    </row>
    <row r="60" customFormat="false" ht="15" hidden="false" customHeight="false" outlineLevel="0" collapsed="false">
      <c r="A60" s="3" t="s">
        <v>232</v>
      </c>
      <c r="B60" s="3" t="s">
        <v>233</v>
      </c>
      <c r="C60" s="3" t="s">
        <v>128</v>
      </c>
      <c r="D60" s="3" t="s">
        <v>59</v>
      </c>
      <c r="E60" s="0" t="n">
        <v>345.78</v>
      </c>
      <c r="F60" s="0" t="n">
        <v>365.81</v>
      </c>
      <c r="G60" s="3" t="s">
        <v>71</v>
      </c>
    </row>
    <row r="61" customFormat="false" ht="15" hidden="false" customHeight="false" outlineLevel="0" collapsed="false">
      <c r="A61" s="3" t="s">
        <v>234</v>
      </c>
      <c r="B61" s="3" t="s">
        <v>235</v>
      </c>
      <c r="C61" s="3" t="s">
        <v>174</v>
      </c>
      <c r="D61" s="3" t="s">
        <v>59</v>
      </c>
      <c r="E61" s="0" t="n">
        <v>229.6</v>
      </c>
      <c r="F61" s="0" t="n">
        <v>212.05</v>
      </c>
      <c r="G61" s="3" t="s">
        <v>71</v>
      </c>
    </row>
    <row r="62" customFormat="false" ht="15" hidden="false" customHeight="false" outlineLevel="0" collapsed="false">
      <c r="A62" s="3" t="s">
        <v>236</v>
      </c>
      <c r="B62" s="3" t="s">
        <v>237</v>
      </c>
      <c r="C62" s="3" t="s">
        <v>238</v>
      </c>
      <c r="D62" s="3" t="s">
        <v>59</v>
      </c>
      <c r="E62" s="0" t="n">
        <v>398.38</v>
      </c>
      <c r="F62" s="0" t="n">
        <v>381.06</v>
      </c>
      <c r="G62" s="3" t="s">
        <v>67</v>
      </c>
    </row>
    <row r="63" customFormat="false" ht="15" hidden="false" customHeight="false" outlineLevel="0" collapsed="false">
      <c r="A63" s="3" t="s">
        <v>239</v>
      </c>
      <c r="B63" s="3" t="s">
        <v>240</v>
      </c>
      <c r="C63" s="3" t="s">
        <v>34</v>
      </c>
      <c r="D63" s="3" t="s">
        <v>64</v>
      </c>
      <c r="E63" s="0" t="n">
        <v>2807.45</v>
      </c>
      <c r="F63" s="0" t="n">
        <v>2639.67</v>
      </c>
      <c r="G63" s="3" t="s">
        <v>60</v>
      </c>
    </row>
    <row r="64" customFormat="false" ht="15" hidden="false" customHeight="false" outlineLevel="0" collapsed="false">
      <c r="A64" s="3" t="s">
        <v>241</v>
      </c>
      <c r="B64" s="3" t="s">
        <v>242</v>
      </c>
      <c r="C64" s="3" t="s">
        <v>243</v>
      </c>
      <c r="D64" s="3" t="s">
        <v>59</v>
      </c>
      <c r="E64" s="0" t="n">
        <v>217.68</v>
      </c>
      <c r="F64" s="0" t="n">
        <v>210.07</v>
      </c>
      <c r="G64" s="3" t="s">
        <v>67</v>
      </c>
    </row>
    <row r="65" customFormat="false" ht="15" hidden="false" customHeight="false" outlineLevel="0" collapsed="false">
      <c r="A65" s="3" t="s">
        <v>244</v>
      </c>
      <c r="B65" s="3" t="s">
        <v>245</v>
      </c>
      <c r="C65" s="3" t="s">
        <v>216</v>
      </c>
      <c r="D65" s="3" t="s">
        <v>59</v>
      </c>
      <c r="E65" s="0" t="n">
        <v>76.04</v>
      </c>
      <c r="F65" s="0" t="n">
        <v>77.87</v>
      </c>
      <c r="G65" s="3" t="s">
        <v>60</v>
      </c>
    </row>
    <row r="66" customFormat="false" ht="15" hidden="false" customHeight="false" outlineLevel="0" collapsed="false">
      <c r="A66" s="3" t="s">
        <v>246</v>
      </c>
      <c r="B66" s="3" t="s">
        <v>247</v>
      </c>
      <c r="C66" s="3" t="s">
        <v>248</v>
      </c>
      <c r="D66" s="3" t="s">
        <v>64</v>
      </c>
      <c r="E66" s="0" t="n">
        <v>1290.43</v>
      </c>
      <c r="F66" s="0" t="n">
        <v>1373.25</v>
      </c>
      <c r="G66" s="3" t="s">
        <v>71</v>
      </c>
    </row>
    <row r="67" customFormat="false" ht="15" hidden="false" customHeight="false" outlineLevel="0" collapsed="false">
      <c r="A67" s="3" t="s">
        <v>249</v>
      </c>
      <c r="B67" s="3" t="s">
        <v>250</v>
      </c>
      <c r="C67" s="3" t="s">
        <v>251</v>
      </c>
      <c r="D67" s="3" t="s">
        <v>64</v>
      </c>
      <c r="E67" s="0" t="n">
        <v>2011.13</v>
      </c>
      <c r="F67" s="0" t="n">
        <v>1960.41</v>
      </c>
      <c r="G67" s="3" t="s">
        <v>71</v>
      </c>
    </row>
    <row r="68" customFormat="false" ht="15" hidden="false" customHeight="false" outlineLevel="0" collapsed="false">
      <c r="A68" s="3" t="s">
        <v>252</v>
      </c>
      <c r="B68" s="3" t="s">
        <v>253</v>
      </c>
      <c r="C68" s="3" t="s">
        <v>216</v>
      </c>
      <c r="D68" s="3" t="s">
        <v>64</v>
      </c>
      <c r="E68" s="0" t="n">
        <v>627.08</v>
      </c>
      <c r="F68" s="0" t="n">
        <v>603.11</v>
      </c>
      <c r="G68" s="3" t="s">
        <v>60</v>
      </c>
    </row>
    <row r="69" customFormat="false" ht="15" hidden="false" customHeight="false" outlineLevel="0" collapsed="false">
      <c r="A69" s="3" t="s">
        <v>254</v>
      </c>
      <c r="B69" s="3" t="s">
        <v>255</v>
      </c>
      <c r="C69" s="3" t="s">
        <v>256</v>
      </c>
      <c r="D69" s="3" t="s">
        <v>64</v>
      </c>
      <c r="E69" s="0" t="n">
        <v>656.84</v>
      </c>
      <c r="F69" s="0" t="n">
        <v>695.1</v>
      </c>
      <c r="G69" s="3" t="s">
        <v>71</v>
      </c>
    </row>
    <row r="70" customFormat="false" ht="15" hidden="false" customHeight="false" outlineLevel="0" collapsed="false">
      <c r="A70" s="3" t="s">
        <v>257</v>
      </c>
      <c r="B70" s="3" t="s">
        <v>258</v>
      </c>
      <c r="C70" s="3" t="s">
        <v>259</v>
      </c>
      <c r="D70" s="3" t="s">
        <v>59</v>
      </c>
      <c r="E70" s="0" t="n">
        <v>201.06</v>
      </c>
      <c r="F70" s="0" t="n">
        <v>211.6</v>
      </c>
      <c r="G70" s="3" t="s">
        <v>60</v>
      </c>
    </row>
    <row r="71" customFormat="false" ht="15" hidden="false" customHeight="false" outlineLevel="0" collapsed="false">
      <c r="A71" s="3" t="s">
        <v>260</v>
      </c>
      <c r="B71" s="3" t="s">
        <v>261</v>
      </c>
      <c r="C71" s="3" t="s">
        <v>262</v>
      </c>
      <c r="D71" s="3" t="s">
        <v>64</v>
      </c>
      <c r="E71" s="0" t="n">
        <v>2174.07</v>
      </c>
      <c r="F71" s="0" t="n">
        <v>2238.23</v>
      </c>
      <c r="G71" s="3" t="s">
        <v>67</v>
      </c>
    </row>
    <row r="72" customFormat="false" ht="15" hidden="false" customHeight="false" outlineLevel="0" collapsed="false">
      <c r="A72" s="3" t="s">
        <v>263</v>
      </c>
      <c r="B72" s="3" t="s">
        <v>264</v>
      </c>
      <c r="C72" s="3" t="s">
        <v>174</v>
      </c>
      <c r="D72" s="3" t="s">
        <v>64</v>
      </c>
      <c r="E72" s="0" t="n">
        <v>1733.1</v>
      </c>
      <c r="F72" s="0" t="n">
        <v>1772.49</v>
      </c>
      <c r="G72" s="3" t="s">
        <v>60</v>
      </c>
    </row>
    <row r="73" customFormat="false" ht="15" hidden="false" customHeight="false" outlineLevel="0" collapsed="false">
      <c r="A73" s="3" t="s">
        <v>265</v>
      </c>
      <c r="B73" s="3" t="s">
        <v>266</v>
      </c>
      <c r="C73" s="3" t="s">
        <v>267</v>
      </c>
      <c r="D73" s="3" t="s">
        <v>59</v>
      </c>
      <c r="E73" s="0" t="n">
        <v>39.56</v>
      </c>
      <c r="F73" s="0" t="n">
        <v>37.8</v>
      </c>
      <c r="G73" s="3" t="s">
        <v>60</v>
      </c>
    </row>
    <row r="74" customFormat="false" ht="15" hidden="false" customHeight="false" outlineLevel="0" collapsed="false">
      <c r="A74" s="3" t="s">
        <v>268</v>
      </c>
      <c r="B74" s="3" t="s">
        <v>269</v>
      </c>
      <c r="C74" s="3" t="s">
        <v>270</v>
      </c>
      <c r="D74" s="3" t="s">
        <v>59</v>
      </c>
      <c r="E74" s="0" t="n">
        <v>105.94</v>
      </c>
      <c r="F74" s="0" t="n">
        <v>109.51</v>
      </c>
      <c r="G74" s="3" t="s">
        <v>60</v>
      </c>
    </row>
    <row r="75" customFormat="false" ht="15" hidden="false" customHeight="false" outlineLevel="0" collapsed="false">
      <c r="A75" s="3" t="s">
        <v>271</v>
      </c>
      <c r="B75" s="3" t="s">
        <v>272</v>
      </c>
      <c r="C75" s="3" t="s">
        <v>34</v>
      </c>
      <c r="D75" s="3" t="s">
        <v>59</v>
      </c>
      <c r="E75" s="0" t="n">
        <v>139.46</v>
      </c>
      <c r="F75" s="0" t="n">
        <v>134.67</v>
      </c>
      <c r="G75" s="3" t="s">
        <v>60</v>
      </c>
    </row>
    <row r="76" customFormat="false" ht="15" hidden="false" customHeight="false" outlineLevel="0" collapsed="false">
      <c r="A76" s="3" t="s">
        <v>273</v>
      </c>
      <c r="B76" s="3" t="s">
        <v>274</v>
      </c>
      <c r="C76" s="3" t="s">
        <v>275</v>
      </c>
      <c r="D76" s="3" t="s">
        <v>64</v>
      </c>
      <c r="E76" s="0" t="n">
        <v>764.87</v>
      </c>
      <c r="F76" s="0" t="n">
        <v>734.24</v>
      </c>
      <c r="G76" s="3" t="s">
        <v>60</v>
      </c>
    </row>
    <row r="77" customFormat="false" ht="15" hidden="false" customHeight="false" outlineLevel="0" collapsed="false">
      <c r="A77" s="3" t="s">
        <v>276</v>
      </c>
      <c r="B77" s="3" t="s">
        <v>277</v>
      </c>
      <c r="C77" s="3" t="s">
        <v>278</v>
      </c>
      <c r="D77" s="3" t="s">
        <v>64</v>
      </c>
      <c r="E77" s="0" t="n">
        <v>2635.93</v>
      </c>
      <c r="F77" s="0" t="n">
        <v>2477.65</v>
      </c>
      <c r="G77" s="3" t="s">
        <v>60</v>
      </c>
    </row>
    <row r="78" customFormat="false" ht="15" hidden="false" customHeight="false" outlineLevel="0" collapsed="false">
      <c r="A78" s="3" t="s">
        <v>279</v>
      </c>
      <c r="B78" s="3" t="s">
        <v>280</v>
      </c>
      <c r="C78" s="3" t="s">
        <v>238</v>
      </c>
      <c r="D78" s="3" t="s">
        <v>59</v>
      </c>
      <c r="E78" s="0" t="n">
        <v>328.96</v>
      </c>
      <c r="F78" s="0" t="n">
        <v>335.07</v>
      </c>
      <c r="G78" s="3" t="s">
        <v>60</v>
      </c>
    </row>
    <row r="79" customFormat="false" ht="15" hidden="false" customHeight="false" outlineLevel="0" collapsed="false">
      <c r="A79" s="3" t="s">
        <v>281</v>
      </c>
      <c r="B79" s="3" t="s">
        <v>282</v>
      </c>
      <c r="C79" s="3" t="s">
        <v>283</v>
      </c>
      <c r="D79" s="3" t="s">
        <v>59</v>
      </c>
      <c r="E79" s="0" t="n">
        <v>441.53</v>
      </c>
      <c r="F79" s="0" t="n">
        <v>470.35</v>
      </c>
      <c r="G79" s="3" t="s">
        <v>67</v>
      </c>
    </row>
    <row r="80" customFormat="false" ht="15" hidden="false" customHeight="false" outlineLevel="0" collapsed="false">
      <c r="A80" s="3" t="s">
        <v>284</v>
      </c>
      <c r="B80" s="3" t="s">
        <v>285</v>
      </c>
      <c r="C80" s="3" t="s">
        <v>286</v>
      </c>
      <c r="D80" s="3" t="s">
        <v>59</v>
      </c>
      <c r="E80" s="0" t="n">
        <v>340.66</v>
      </c>
      <c r="F80" s="0" t="n">
        <v>335.51</v>
      </c>
      <c r="G80" s="3" t="s">
        <v>67</v>
      </c>
    </row>
    <row r="81" customFormat="false" ht="15" hidden="false" customHeight="false" outlineLevel="0" collapsed="false">
      <c r="A81" s="3" t="s">
        <v>287</v>
      </c>
      <c r="B81" s="3" t="s">
        <v>288</v>
      </c>
      <c r="C81" s="3" t="s">
        <v>289</v>
      </c>
      <c r="D81" s="3" t="s">
        <v>64</v>
      </c>
      <c r="E81" s="0" t="n">
        <v>2098.56</v>
      </c>
      <c r="F81" s="0" t="n">
        <v>2097.35</v>
      </c>
      <c r="G81" s="3" t="s">
        <v>71</v>
      </c>
    </row>
    <row r="82" customFormat="false" ht="15" hidden="false" customHeight="false" outlineLevel="0" collapsed="false">
      <c r="A82" s="3" t="s">
        <v>290</v>
      </c>
      <c r="B82" s="3" t="s">
        <v>291</v>
      </c>
      <c r="C82" s="3" t="s">
        <v>92</v>
      </c>
      <c r="D82" s="3" t="s">
        <v>59</v>
      </c>
      <c r="E82" s="0" t="n">
        <v>84.37</v>
      </c>
      <c r="F82" s="0" t="n">
        <v>89.96</v>
      </c>
      <c r="G82" s="3" t="s">
        <v>71</v>
      </c>
    </row>
    <row r="83" customFormat="false" ht="15" hidden="false" customHeight="false" outlineLevel="0" collapsed="false">
      <c r="A83" s="3" t="s">
        <v>292</v>
      </c>
      <c r="B83" s="3" t="s">
        <v>293</v>
      </c>
      <c r="C83" s="3" t="s">
        <v>270</v>
      </c>
      <c r="D83" s="3" t="s">
        <v>59</v>
      </c>
      <c r="E83" s="0" t="n">
        <v>300.07</v>
      </c>
      <c r="F83" s="0" t="n">
        <v>306.78</v>
      </c>
      <c r="G83" s="3" t="s">
        <v>67</v>
      </c>
    </row>
    <row r="84" customFormat="false" ht="15" hidden="false" customHeight="false" outlineLevel="0" collapsed="false">
      <c r="A84" s="3" t="s">
        <v>294</v>
      </c>
      <c r="B84" s="3" t="s">
        <v>295</v>
      </c>
      <c r="C84" s="3" t="s">
        <v>296</v>
      </c>
      <c r="D84" s="3" t="s">
        <v>64</v>
      </c>
      <c r="E84" s="0" t="n">
        <v>2951.31</v>
      </c>
      <c r="F84" s="0" t="n">
        <v>2889.25</v>
      </c>
      <c r="G84" s="3" t="s">
        <v>60</v>
      </c>
    </row>
    <row r="85" customFormat="false" ht="15" hidden="false" customHeight="false" outlineLevel="0" collapsed="false">
      <c r="A85" s="3" t="s">
        <v>297</v>
      </c>
      <c r="B85" s="3" t="s">
        <v>298</v>
      </c>
      <c r="C85" s="3" t="s">
        <v>256</v>
      </c>
      <c r="D85" s="3" t="s">
        <v>64</v>
      </c>
      <c r="E85" s="0" t="n">
        <v>2659.95</v>
      </c>
      <c r="F85" s="0" t="n">
        <v>2827.23</v>
      </c>
      <c r="G85" s="3" t="s">
        <v>67</v>
      </c>
    </row>
    <row r="86" customFormat="false" ht="15" hidden="false" customHeight="false" outlineLevel="0" collapsed="false">
      <c r="A86" s="3" t="s">
        <v>299</v>
      </c>
      <c r="B86" s="3" t="s">
        <v>300</v>
      </c>
      <c r="C86" s="3" t="s">
        <v>301</v>
      </c>
      <c r="D86" s="3" t="s">
        <v>64</v>
      </c>
      <c r="E86" s="0" t="n">
        <v>38.45</v>
      </c>
      <c r="F86" s="0" t="n">
        <v>37.27</v>
      </c>
      <c r="G86" s="3" t="s">
        <v>67</v>
      </c>
    </row>
    <row r="87" customFormat="false" ht="15" hidden="false" customHeight="false" outlineLevel="0" collapsed="false">
      <c r="A87" s="3" t="s">
        <v>302</v>
      </c>
      <c r="B87" s="3" t="s">
        <v>303</v>
      </c>
      <c r="C87" s="3" t="s">
        <v>304</v>
      </c>
      <c r="D87" s="3" t="s">
        <v>59</v>
      </c>
      <c r="E87" s="0" t="n">
        <v>180.4</v>
      </c>
      <c r="F87" s="0" t="n">
        <v>167.84</v>
      </c>
      <c r="G87" s="3" t="s">
        <v>60</v>
      </c>
    </row>
    <row r="88" customFormat="false" ht="15" hidden="false" customHeight="false" outlineLevel="0" collapsed="false">
      <c r="A88" s="3" t="s">
        <v>305</v>
      </c>
      <c r="B88" s="3" t="s">
        <v>306</v>
      </c>
      <c r="C88" s="3" t="s">
        <v>307</v>
      </c>
      <c r="D88" s="3" t="s">
        <v>64</v>
      </c>
      <c r="E88" s="0" t="n">
        <v>445.91</v>
      </c>
      <c r="F88" s="0" t="n">
        <v>441.83</v>
      </c>
      <c r="G88" s="3" t="s">
        <v>67</v>
      </c>
    </row>
    <row r="89" customFormat="false" ht="15" hidden="false" customHeight="false" outlineLevel="0" collapsed="false">
      <c r="A89" s="3" t="s">
        <v>308</v>
      </c>
      <c r="B89" s="3" t="s">
        <v>309</v>
      </c>
      <c r="C89" s="3" t="s">
        <v>89</v>
      </c>
      <c r="D89" s="3" t="s">
        <v>59</v>
      </c>
      <c r="E89" s="0" t="n">
        <v>200.33</v>
      </c>
      <c r="F89" s="0" t="n">
        <v>206.01</v>
      </c>
      <c r="G89" s="3" t="s">
        <v>67</v>
      </c>
    </row>
    <row r="90" customFormat="false" ht="15" hidden="false" customHeight="false" outlineLevel="0" collapsed="false">
      <c r="A90" s="3" t="s">
        <v>310</v>
      </c>
      <c r="B90" s="3" t="s">
        <v>311</v>
      </c>
      <c r="C90" s="3" t="s">
        <v>216</v>
      </c>
      <c r="D90" s="3" t="s">
        <v>64</v>
      </c>
      <c r="E90" s="0" t="n">
        <v>1728.57</v>
      </c>
      <c r="F90" s="0" t="n">
        <v>1866.31</v>
      </c>
      <c r="G90" s="3" t="s">
        <v>67</v>
      </c>
    </row>
    <row r="91" customFormat="false" ht="15" hidden="false" customHeight="false" outlineLevel="0" collapsed="false">
      <c r="A91" s="3" t="s">
        <v>312</v>
      </c>
      <c r="B91" s="3" t="s">
        <v>313</v>
      </c>
      <c r="C91" s="3" t="s">
        <v>119</v>
      </c>
      <c r="D91" s="3" t="s">
        <v>64</v>
      </c>
      <c r="E91" s="0" t="n">
        <v>2287.93</v>
      </c>
      <c r="F91" s="0" t="n">
        <v>2241.06</v>
      </c>
      <c r="G91" s="3" t="s">
        <v>71</v>
      </c>
    </row>
    <row r="92" customFormat="false" ht="15" hidden="false" customHeight="false" outlineLevel="0" collapsed="false">
      <c r="A92" s="3" t="s">
        <v>314</v>
      </c>
      <c r="B92" s="3" t="s">
        <v>315</v>
      </c>
      <c r="C92" s="3" t="s">
        <v>174</v>
      </c>
      <c r="D92" s="3" t="s">
        <v>59</v>
      </c>
      <c r="E92" s="0" t="n">
        <v>156.84</v>
      </c>
      <c r="F92" s="0" t="n">
        <v>154.96</v>
      </c>
      <c r="G92" s="3" t="s">
        <v>67</v>
      </c>
    </row>
    <row r="93" customFormat="false" ht="15" hidden="false" customHeight="false" outlineLevel="0" collapsed="false">
      <c r="A93" s="3" t="s">
        <v>316</v>
      </c>
      <c r="B93" s="3" t="s">
        <v>317</v>
      </c>
      <c r="C93" s="3" t="s">
        <v>231</v>
      </c>
      <c r="D93" s="3" t="s">
        <v>59</v>
      </c>
      <c r="E93" s="0" t="n">
        <v>473.53</v>
      </c>
      <c r="F93" s="0" t="n">
        <v>448.72</v>
      </c>
      <c r="G93" s="3" t="s">
        <v>60</v>
      </c>
    </row>
    <row r="94" customFormat="false" ht="15" hidden="false" customHeight="false" outlineLevel="0" collapsed="false">
      <c r="A94" s="3" t="s">
        <v>318</v>
      </c>
      <c r="B94" s="3" t="s">
        <v>319</v>
      </c>
      <c r="C94" s="3" t="s">
        <v>304</v>
      </c>
      <c r="D94" s="3" t="s">
        <v>64</v>
      </c>
      <c r="E94" s="0" t="n">
        <v>2201.94</v>
      </c>
      <c r="F94" s="0" t="n">
        <v>2112.49</v>
      </c>
      <c r="G94" s="3" t="s">
        <v>71</v>
      </c>
    </row>
    <row r="95" customFormat="false" ht="15" hidden="false" customHeight="false" outlineLevel="0" collapsed="false">
      <c r="A95" s="3" t="s">
        <v>320</v>
      </c>
      <c r="B95" s="3" t="s">
        <v>321</v>
      </c>
      <c r="C95" s="3" t="s">
        <v>322</v>
      </c>
      <c r="D95" s="3" t="s">
        <v>59</v>
      </c>
      <c r="E95" s="0" t="n">
        <v>336.6</v>
      </c>
      <c r="F95" s="0" t="n">
        <v>335.5</v>
      </c>
      <c r="G95" s="3" t="s">
        <v>67</v>
      </c>
    </row>
    <row r="96" customFormat="false" ht="15" hidden="false" customHeight="false" outlineLevel="0" collapsed="false">
      <c r="A96" s="3" t="s">
        <v>323</v>
      </c>
      <c r="B96" s="3" t="s">
        <v>324</v>
      </c>
      <c r="C96" s="3" t="s">
        <v>325</v>
      </c>
      <c r="D96" s="3" t="s">
        <v>64</v>
      </c>
      <c r="E96" s="0" t="n">
        <v>794.62</v>
      </c>
      <c r="F96" s="0" t="n">
        <v>744.58</v>
      </c>
      <c r="G96" s="3" t="s">
        <v>71</v>
      </c>
    </row>
    <row r="97" customFormat="false" ht="15" hidden="false" customHeight="false" outlineLevel="0" collapsed="false">
      <c r="A97" s="3" t="s">
        <v>326</v>
      </c>
      <c r="B97" s="3" t="s">
        <v>327</v>
      </c>
      <c r="C97" s="3" t="s">
        <v>328</v>
      </c>
      <c r="D97" s="3" t="s">
        <v>59</v>
      </c>
      <c r="E97" s="0" t="n">
        <v>272.1</v>
      </c>
      <c r="F97" s="0" t="n">
        <v>286.76</v>
      </c>
      <c r="G97" s="3" t="s">
        <v>67</v>
      </c>
    </row>
    <row r="98" customFormat="false" ht="15" hidden="false" customHeight="false" outlineLevel="0" collapsed="false">
      <c r="A98" s="3" t="s">
        <v>329</v>
      </c>
      <c r="B98" s="3" t="s">
        <v>330</v>
      </c>
      <c r="C98" s="3" t="s">
        <v>331</v>
      </c>
      <c r="D98" s="3" t="s">
        <v>64</v>
      </c>
      <c r="E98" s="0" t="n">
        <v>2032.57</v>
      </c>
      <c r="F98" s="0" t="n">
        <v>1951.62</v>
      </c>
      <c r="G98" s="3" t="s">
        <v>60</v>
      </c>
    </row>
    <row r="99" customFormat="false" ht="15" hidden="false" customHeight="false" outlineLevel="0" collapsed="false">
      <c r="A99" s="3" t="s">
        <v>332</v>
      </c>
      <c r="B99" s="3" t="s">
        <v>333</v>
      </c>
      <c r="C99" s="3" t="s">
        <v>334</v>
      </c>
      <c r="D99" s="3" t="s">
        <v>59</v>
      </c>
      <c r="E99" s="0" t="n">
        <v>144.35</v>
      </c>
      <c r="F99" s="0" t="n">
        <v>142.83</v>
      </c>
      <c r="G99" s="3" t="s">
        <v>71</v>
      </c>
    </row>
    <row r="100" customFormat="false" ht="15" hidden="false" customHeight="false" outlineLevel="0" collapsed="false">
      <c r="A100" s="3" t="s">
        <v>335</v>
      </c>
      <c r="B100" s="3" t="s">
        <v>336</v>
      </c>
      <c r="C100" s="3" t="s">
        <v>213</v>
      </c>
      <c r="D100" s="3" t="s">
        <v>59</v>
      </c>
      <c r="E100" s="0" t="n">
        <v>46.29</v>
      </c>
      <c r="F100" s="0" t="n">
        <v>43.41</v>
      </c>
      <c r="G100" s="3" t="s">
        <v>71</v>
      </c>
    </row>
    <row r="101" customFormat="false" ht="15" hidden="false" customHeight="false" outlineLevel="0" collapsed="false">
      <c r="A101" s="3" t="s">
        <v>337</v>
      </c>
      <c r="B101" s="3" t="s">
        <v>338</v>
      </c>
      <c r="C101" s="3" t="s">
        <v>339</v>
      </c>
      <c r="D101" s="3" t="s">
        <v>64</v>
      </c>
      <c r="E101" s="0" t="n">
        <v>2357.99</v>
      </c>
      <c r="F101" s="0" t="n">
        <v>2378.72</v>
      </c>
      <c r="G101" s="3" t="s">
        <v>60</v>
      </c>
    </row>
    <row r="102" customFormat="false" ht="15" hidden="false" customHeight="false" outlineLevel="0" collapsed="false">
      <c r="A102" s="3" t="s">
        <v>340</v>
      </c>
      <c r="B102" s="3" t="s">
        <v>341</v>
      </c>
      <c r="C102" s="3" t="s">
        <v>80</v>
      </c>
      <c r="D102" s="3" t="s">
        <v>59</v>
      </c>
      <c r="E102" s="0" t="n">
        <v>499.31</v>
      </c>
      <c r="F102" s="0" t="n">
        <v>500</v>
      </c>
      <c r="G102" s="3" t="s">
        <v>60</v>
      </c>
    </row>
    <row r="103" customFormat="false" ht="15" hidden="false" customHeight="false" outlineLevel="0" collapsed="false">
      <c r="A103" s="3" t="s">
        <v>342</v>
      </c>
      <c r="B103" s="3" t="s">
        <v>343</v>
      </c>
      <c r="C103" s="3" t="s">
        <v>134</v>
      </c>
      <c r="D103" s="3" t="s">
        <v>59</v>
      </c>
      <c r="E103" s="0" t="n">
        <v>0.4</v>
      </c>
      <c r="F103" s="0" t="n">
        <v>0.42</v>
      </c>
      <c r="G103" s="3" t="s">
        <v>71</v>
      </c>
    </row>
    <row r="104" customFormat="false" ht="15" hidden="false" customHeight="false" outlineLevel="0" collapsed="false">
      <c r="A104" s="3" t="s">
        <v>344</v>
      </c>
      <c r="B104" s="3" t="s">
        <v>345</v>
      </c>
      <c r="C104" s="3" t="s">
        <v>243</v>
      </c>
      <c r="D104" s="3" t="s">
        <v>59</v>
      </c>
      <c r="E104" s="0" t="n">
        <v>174.34</v>
      </c>
      <c r="F104" s="0" t="n">
        <v>174.74</v>
      </c>
      <c r="G104" s="3" t="s">
        <v>60</v>
      </c>
    </row>
    <row r="105" customFormat="false" ht="15" hidden="false" customHeight="false" outlineLevel="0" collapsed="false">
      <c r="A105" s="3" t="s">
        <v>346</v>
      </c>
      <c r="B105" s="3" t="s">
        <v>347</v>
      </c>
      <c r="C105" s="3" t="s">
        <v>192</v>
      </c>
      <c r="D105" s="3" t="s">
        <v>64</v>
      </c>
      <c r="E105" s="0" t="n">
        <v>1850.39</v>
      </c>
      <c r="F105" s="0" t="n">
        <v>1713.83</v>
      </c>
      <c r="G105" s="3" t="s">
        <v>60</v>
      </c>
    </row>
    <row r="106" customFormat="false" ht="15" hidden="false" customHeight="false" outlineLevel="0" collapsed="false">
      <c r="A106" s="3" t="s">
        <v>348</v>
      </c>
      <c r="B106" s="3" t="s">
        <v>349</v>
      </c>
      <c r="C106" s="3" t="s">
        <v>350</v>
      </c>
      <c r="D106" s="3" t="s">
        <v>64</v>
      </c>
      <c r="E106" s="0" t="n">
        <v>1811.74</v>
      </c>
      <c r="F106" s="0" t="n">
        <v>1674.52</v>
      </c>
      <c r="G106" s="3" t="s">
        <v>71</v>
      </c>
    </row>
    <row r="107" customFormat="false" ht="15" hidden="false" customHeight="false" outlineLevel="0" collapsed="false">
      <c r="A107" s="3" t="s">
        <v>351</v>
      </c>
      <c r="B107" s="3" t="s">
        <v>352</v>
      </c>
      <c r="C107" s="3" t="s">
        <v>225</v>
      </c>
      <c r="D107" s="3" t="s">
        <v>64</v>
      </c>
      <c r="E107" s="0" t="n">
        <v>2300.91</v>
      </c>
      <c r="F107" s="0" t="n">
        <v>2452.39</v>
      </c>
      <c r="G107" s="3" t="s">
        <v>60</v>
      </c>
    </row>
    <row r="108" customFormat="false" ht="15" hidden="false" customHeight="false" outlineLevel="0" collapsed="false">
      <c r="A108" s="3" t="s">
        <v>353</v>
      </c>
      <c r="B108" s="3" t="s">
        <v>354</v>
      </c>
      <c r="C108" s="3" t="s">
        <v>34</v>
      </c>
      <c r="D108" s="3" t="s">
        <v>59</v>
      </c>
      <c r="E108" s="0" t="n">
        <v>10.21</v>
      </c>
      <c r="F108" s="0" t="n">
        <v>10.69</v>
      </c>
      <c r="G108" s="3" t="s">
        <v>60</v>
      </c>
    </row>
    <row r="109" customFormat="false" ht="15" hidden="false" customHeight="false" outlineLevel="0" collapsed="false">
      <c r="A109" s="3" t="s">
        <v>355</v>
      </c>
      <c r="B109" s="3" t="s">
        <v>356</v>
      </c>
      <c r="C109" s="3" t="s">
        <v>357</v>
      </c>
      <c r="D109" s="3" t="s">
        <v>59</v>
      </c>
      <c r="E109" s="0" t="n">
        <v>497.61</v>
      </c>
      <c r="F109" s="0" t="n">
        <v>500</v>
      </c>
      <c r="G109" s="3" t="s">
        <v>67</v>
      </c>
    </row>
    <row r="110" customFormat="false" ht="15" hidden="false" customHeight="false" outlineLevel="0" collapsed="false">
      <c r="A110" s="3" t="s">
        <v>358</v>
      </c>
      <c r="B110" s="3" t="s">
        <v>359</v>
      </c>
      <c r="C110" s="3" t="s">
        <v>360</v>
      </c>
      <c r="D110" s="3" t="s">
        <v>59</v>
      </c>
      <c r="E110" s="0" t="n">
        <v>223.61</v>
      </c>
      <c r="F110" s="0" t="n">
        <v>209.31</v>
      </c>
      <c r="G110" s="3" t="s">
        <v>71</v>
      </c>
    </row>
    <row r="111" customFormat="false" ht="15" hidden="false" customHeight="false" outlineLevel="0" collapsed="false">
      <c r="A111" s="3" t="s">
        <v>361</v>
      </c>
      <c r="B111" s="3" t="s">
        <v>362</v>
      </c>
      <c r="C111" s="3" t="s">
        <v>363</v>
      </c>
      <c r="D111" s="3" t="s">
        <v>64</v>
      </c>
      <c r="E111" s="0" t="n">
        <v>1450.45</v>
      </c>
      <c r="F111" s="0" t="n">
        <v>1426.93</v>
      </c>
      <c r="G111" s="3" t="s">
        <v>71</v>
      </c>
    </row>
    <row r="112" customFormat="false" ht="15" hidden="false" customHeight="false" outlineLevel="0" collapsed="false">
      <c r="A112" s="3" t="s">
        <v>364</v>
      </c>
      <c r="B112" s="3" t="s">
        <v>365</v>
      </c>
      <c r="C112" s="3" t="s">
        <v>360</v>
      </c>
      <c r="D112" s="3" t="s">
        <v>64</v>
      </c>
      <c r="E112" s="0" t="n">
        <v>2788.56</v>
      </c>
      <c r="F112" s="0" t="n">
        <v>2906.1</v>
      </c>
      <c r="G112" s="3" t="s">
        <v>67</v>
      </c>
    </row>
    <row r="113" customFormat="false" ht="15" hidden="false" customHeight="false" outlineLevel="0" collapsed="false">
      <c r="A113" s="3" t="s">
        <v>366</v>
      </c>
      <c r="B113" s="3" t="s">
        <v>367</v>
      </c>
      <c r="C113" s="3" t="s">
        <v>368</v>
      </c>
      <c r="D113" s="3" t="s">
        <v>59</v>
      </c>
      <c r="E113" s="0" t="n">
        <v>386.99</v>
      </c>
      <c r="F113" s="0" t="n">
        <v>361.6</v>
      </c>
      <c r="G113" s="3" t="s">
        <v>67</v>
      </c>
    </row>
    <row r="114" customFormat="false" ht="15" hidden="false" customHeight="false" outlineLevel="0" collapsed="false">
      <c r="A114" s="3" t="s">
        <v>369</v>
      </c>
      <c r="B114" s="3" t="s">
        <v>370</v>
      </c>
      <c r="C114" s="3" t="s">
        <v>371</v>
      </c>
      <c r="D114" s="3" t="s">
        <v>59</v>
      </c>
      <c r="E114" s="0" t="n">
        <v>234.43</v>
      </c>
      <c r="F114" s="0" t="n">
        <v>221.75</v>
      </c>
      <c r="G114" s="3" t="s">
        <v>60</v>
      </c>
    </row>
    <row r="115" customFormat="false" ht="15" hidden="false" customHeight="false" outlineLevel="0" collapsed="false">
      <c r="A115" s="3" t="s">
        <v>372</v>
      </c>
      <c r="B115" s="3" t="s">
        <v>373</v>
      </c>
      <c r="C115" s="3" t="s">
        <v>374</v>
      </c>
      <c r="D115" s="3" t="s">
        <v>59</v>
      </c>
      <c r="E115" s="0" t="n">
        <v>130.77</v>
      </c>
      <c r="F115" s="0" t="n">
        <v>131.11</v>
      </c>
      <c r="G115" s="3" t="s">
        <v>60</v>
      </c>
    </row>
    <row r="116" customFormat="false" ht="15" hidden="false" customHeight="false" outlineLevel="0" collapsed="false">
      <c r="A116" s="3" t="s">
        <v>375</v>
      </c>
      <c r="B116" s="3" t="s">
        <v>376</v>
      </c>
      <c r="C116" s="3" t="s">
        <v>377</v>
      </c>
      <c r="D116" s="3" t="s">
        <v>64</v>
      </c>
      <c r="E116" s="0" t="n">
        <v>2643.27</v>
      </c>
      <c r="F116" s="0" t="n">
        <v>2662.04</v>
      </c>
      <c r="G116" s="3" t="s">
        <v>67</v>
      </c>
    </row>
    <row r="117" customFormat="false" ht="15" hidden="false" customHeight="false" outlineLevel="0" collapsed="false">
      <c r="A117" s="3" t="s">
        <v>378</v>
      </c>
      <c r="B117" s="3" t="s">
        <v>379</v>
      </c>
      <c r="C117" s="3" t="s">
        <v>289</v>
      </c>
      <c r="D117" s="3" t="s">
        <v>64</v>
      </c>
      <c r="E117" s="0" t="n">
        <v>2078.69</v>
      </c>
      <c r="F117" s="0" t="n">
        <v>2084.29</v>
      </c>
      <c r="G117" s="3" t="s">
        <v>60</v>
      </c>
    </row>
    <row r="118" customFormat="false" ht="15" hidden="false" customHeight="false" outlineLevel="0" collapsed="false">
      <c r="A118" s="3" t="s">
        <v>380</v>
      </c>
      <c r="B118" s="3" t="s">
        <v>381</v>
      </c>
      <c r="C118" s="3" t="s">
        <v>286</v>
      </c>
      <c r="D118" s="3" t="s">
        <v>59</v>
      </c>
      <c r="E118" s="0" t="n">
        <v>190.76</v>
      </c>
      <c r="F118" s="0" t="n">
        <v>200.29</v>
      </c>
      <c r="G118" s="3" t="s">
        <v>71</v>
      </c>
    </row>
    <row r="119" customFormat="false" ht="15" hidden="false" customHeight="false" outlineLevel="0" collapsed="false">
      <c r="A119" s="3" t="s">
        <v>382</v>
      </c>
      <c r="B119" s="3" t="s">
        <v>383</v>
      </c>
      <c r="C119" s="3" t="s">
        <v>384</v>
      </c>
      <c r="D119" s="3" t="s">
        <v>59</v>
      </c>
      <c r="E119" s="0" t="n">
        <v>11.06</v>
      </c>
      <c r="F119" s="0" t="n">
        <v>11.36</v>
      </c>
      <c r="G119" s="3" t="s">
        <v>60</v>
      </c>
    </row>
    <row r="120" customFormat="false" ht="15" hidden="false" customHeight="false" outlineLevel="0" collapsed="false">
      <c r="A120" s="3" t="s">
        <v>385</v>
      </c>
      <c r="B120" s="3" t="s">
        <v>386</v>
      </c>
      <c r="C120" s="3" t="s">
        <v>387</v>
      </c>
      <c r="D120" s="3" t="s">
        <v>59</v>
      </c>
      <c r="E120" s="0" t="n">
        <v>79.67</v>
      </c>
      <c r="F120" s="0" t="n">
        <v>79</v>
      </c>
      <c r="G120" s="3" t="s">
        <v>71</v>
      </c>
    </row>
    <row r="121" customFormat="false" ht="15" hidden="false" customHeight="false" outlineLevel="0" collapsed="false">
      <c r="A121" s="3" t="s">
        <v>388</v>
      </c>
      <c r="B121" s="3" t="s">
        <v>389</v>
      </c>
      <c r="C121" s="3" t="s">
        <v>390</v>
      </c>
      <c r="D121" s="3" t="s">
        <v>59</v>
      </c>
      <c r="E121" s="0" t="n">
        <v>341.27</v>
      </c>
      <c r="F121" s="0" t="n">
        <v>322.06</v>
      </c>
      <c r="G121" s="3" t="s">
        <v>67</v>
      </c>
    </row>
    <row r="122" customFormat="false" ht="15" hidden="false" customHeight="false" outlineLevel="0" collapsed="false">
      <c r="A122" s="3" t="s">
        <v>391</v>
      </c>
      <c r="B122" s="3" t="s">
        <v>392</v>
      </c>
      <c r="C122" s="3" t="s">
        <v>393</v>
      </c>
      <c r="D122" s="3" t="s">
        <v>59</v>
      </c>
      <c r="E122" s="0" t="n">
        <v>224.63</v>
      </c>
      <c r="F122" s="0" t="n">
        <v>207.76</v>
      </c>
      <c r="G122" s="3" t="s">
        <v>60</v>
      </c>
    </row>
    <row r="123" customFormat="false" ht="15" hidden="false" customHeight="false" outlineLevel="0" collapsed="false">
      <c r="A123" s="3" t="s">
        <v>394</v>
      </c>
      <c r="B123" s="3" t="s">
        <v>395</v>
      </c>
      <c r="C123" s="3" t="s">
        <v>396</v>
      </c>
      <c r="D123" s="3" t="s">
        <v>59</v>
      </c>
      <c r="E123" s="0" t="n">
        <v>138.52</v>
      </c>
      <c r="F123" s="0" t="n">
        <v>143.39</v>
      </c>
      <c r="G123" s="3" t="s">
        <v>71</v>
      </c>
    </row>
    <row r="124" customFormat="false" ht="15" hidden="false" customHeight="false" outlineLevel="0" collapsed="false">
      <c r="A124" s="3" t="s">
        <v>397</v>
      </c>
      <c r="B124" s="3" t="s">
        <v>398</v>
      </c>
      <c r="C124" s="3" t="s">
        <v>399</v>
      </c>
      <c r="D124" s="3" t="s">
        <v>59</v>
      </c>
      <c r="E124" s="0" t="n">
        <v>40.3</v>
      </c>
      <c r="F124" s="0" t="n">
        <v>43.36</v>
      </c>
      <c r="G124" s="3" t="s">
        <v>60</v>
      </c>
    </row>
    <row r="125" customFormat="false" ht="15" hidden="false" customHeight="false" outlineLevel="0" collapsed="false">
      <c r="A125" s="3" t="s">
        <v>400</v>
      </c>
      <c r="B125" s="3" t="s">
        <v>401</v>
      </c>
      <c r="C125" s="3" t="s">
        <v>180</v>
      </c>
      <c r="D125" s="3" t="s">
        <v>59</v>
      </c>
      <c r="E125" s="0" t="n">
        <v>55.16</v>
      </c>
      <c r="F125" s="0" t="n">
        <v>56.96</v>
      </c>
      <c r="G125" s="3" t="s">
        <v>71</v>
      </c>
    </row>
    <row r="126" customFormat="false" ht="15" hidden="false" customHeight="false" outlineLevel="0" collapsed="false">
      <c r="A126" s="3" t="s">
        <v>402</v>
      </c>
      <c r="B126" s="3" t="s">
        <v>403</v>
      </c>
      <c r="C126" s="3" t="s">
        <v>374</v>
      </c>
      <c r="D126" s="3" t="s">
        <v>59</v>
      </c>
      <c r="E126" s="0" t="n">
        <v>128.16</v>
      </c>
      <c r="F126" s="0" t="n">
        <v>127.41</v>
      </c>
      <c r="G126" s="3" t="s">
        <v>67</v>
      </c>
    </row>
    <row r="127" customFormat="false" ht="15" hidden="false" customHeight="false" outlineLevel="0" collapsed="false">
      <c r="A127" s="3" t="s">
        <v>404</v>
      </c>
      <c r="B127" s="3" t="s">
        <v>405</v>
      </c>
      <c r="C127" s="3" t="s">
        <v>406</v>
      </c>
      <c r="D127" s="3" t="s">
        <v>64</v>
      </c>
      <c r="E127" s="0" t="n">
        <v>2312.05</v>
      </c>
      <c r="F127" s="0" t="n">
        <v>2199.4</v>
      </c>
      <c r="G127" s="3" t="s">
        <v>67</v>
      </c>
    </row>
    <row r="128" customFormat="false" ht="15" hidden="false" customHeight="false" outlineLevel="0" collapsed="false">
      <c r="A128" s="3" t="s">
        <v>407</v>
      </c>
      <c r="B128" s="3" t="s">
        <v>408</v>
      </c>
      <c r="C128" s="3" t="s">
        <v>409</v>
      </c>
      <c r="D128" s="3" t="s">
        <v>59</v>
      </c>
      <c r="E128" s="0" t="n">
        <v>206.09</v>
      </c>
      <c r="F128" s="0" t="n">
        <v>191</v>
      </c>
      <c r="G128" s="3" t="s">
        <v>67</v>
      </c>
    </row>
    <row r="129" customFormat="false" ht="15" hidden="false" customHeight="false" outlineLevel="0" collapsed="false">
      <c r="A129" s="3" t="s">
        <v>410</v>
      </c>
      <c r="B129" s="3" t="s">
        <v>411</v>
      </c>
      <c r="C129" s="3" t="s">
        <v>412</v>
      </c>
      <c r="D129" s="3" t="s">
        <v>64</v>
      </c>
      <c r="E129" s="0" t="n">
        <v>54.74</v>
      </c>
      <c r="F129" s="0" t="n">
        <v>54.33</v>
      </c>
      <c r="G129" s="3" t="s">
        <v>71</v>
      </c>
    </row>
    <row r="130" customFormat="false" ht="15" hidden="false" customHeight="false" outlineLevel="0" collapsed="false">
      <c r="A130" s="3" t="s">
        <v>413</v>
      </c>
      <c r="B130" s="3" t="s">
        <v>414</v>
      </c>
      <c r="C130" s="3" t="s">
        <v>186</v>
      </c>
      <c r="D130" s="3" t="s">
        <v>64</v>
      </c>
      <c r="E130" s="0" t="n">
        <v>1481.12</v>
      </c>
      <c r="F130" s="0" t="n">
        <v>1421.05</v>
      </c>
      <c r="G130" s="3" t="s">
        <v>67</v>
      </c>
    </row>
    <row r="131" customFormat="false" ht="15" hidden="false" customHeight="false" outlineLevel="0" collapsed="false">
      <c r="A131" s="3" t="s">
        <v>415</v>
      </c>
      <c r="B131" s="3" t="s">
        <v>416</v>
      </c>
      <c r="C131" s="3" t="s">
        <v>417</v>
      </c>
      <c r="D131" s="3" t="s">
        <v>59</v>
      </c>
      <c r="E131" s="0" t="n">
        <v>223.72</v>
      </c>
      <c r="F131" s="0" t="n">
        <v>222.36</v>
      </c>
      <c r="G131" s="3" t="s">
        <v>60</v>
      </c>
    </row>
    <row r="132" customFormat="false" ht="15" hidden="false" customHeight="false" outlineLevel="0" collapsed="false">
      <c r="A132" s="3" t="s">
        <v>418</v>
      </c>
      <c r="B132" s="3" t="s">
        <v>419</v>
      </c>
      <c r="C132" s="3" t="s">
        <v>146</v>
      </c>
      <c r="D132" s="3" t="s">
        <v>59</v>
      </c>
      <c r="E132" s="0" t="n">
        <v>70.03</v>
      </c>
      <c r="F132" s="0" t="n">
        <v>67</v>
      </c>
      <c r="G132" s="3" t="s">
        <v>60</v>
      </c>
    </row>
    <row r="133" customFormat="false" ht="15" hidden="false" customHeight="false" outlineLevel="0" collapsed="false">
      <c r="A133" s="3" t="s">
        <v>420</v>
      </c>
      <c r="B133" s="3" t="s">
        <v>421</v>
      </c>
      <c r="C133" s="3" t="s">
        <v>422</v>
      </c>
      <c r="D133" s="3" t="s">
        <v>64</v>
      </c>
      <c r="E133" s="0" t="n">
        <v>1828.33</v>
      </c>
      <c r="F133" s="0" t="n">
        <v>1705.38</v>
      </c>
      <c r="G133" s="3" t="s">
        <v>71</v>
      </c>
    </row>
    <row r="134" customFormat="false" ht="15" hidden="false" customHeight="false" outlineLevel="0" collapsed="false">
      <c r="A134" s="3" t="s">
        <v>423</v>
      </c>
      <c r="B134" s="3" t="s">
        <v>424</v>
      </c>
      <c r="C134" s="3" t="s">
        <v>137</v>
      </c>
      <c r="D134" s="3" t="s">
        <v>64</v>
      </c>
      <c r="E134" s="0" t="n">
        <v>2926.42</v>
      </c>
      <c r="F134" s="0" t="n">
        <v>2714.69</v>
      </c>
      <c r="G134" s="3" t="s">
        <v>71</v>
      </c>
    </row>
    <row r="135" customFormat="false" ht="15" hidden="false" customHeight="false" outlineLevel="0" collapsed="false">
      <c r="A135" s="3" t="s">
        <v>425</v>
      </c>
      <c r="B135" s="3" t="s">
        <v>426</v>
      </c>
      <c r="C135" s="3" t="s">
        <v>427</v>
      </c>
      <c r="D135" s="3" t="s">
        <v>64</v>
      </c>
      <c r="E135" s="0" t="n">
        <v>1608.83</v>
      </c>
      <c r="F135" s="0" t="n">
        <v>1704.13</v>
      </c>
      <c r="G135" s="3" t="s">
        <v>71</v>
      </c>
    </row>
    <row r="136" customFormat="false" ht="15" hidden="false" customHeight="false" outlineLevel="0" collapsed="false">
      <c r="A136" s="3" t="s">
        <v>428</v>
      </c>
      <c r="B136" s="3" t="s">
        <v>429</v>
      </c>
      <c r="C136" s="3" t="s">
        <v>430</v>
      </c>
      <c r="D136" s="3" t="s">
        <v>59</v>
      </c>
      <c r="E136" s="0" t="n">
        <v>431.98</v>
      </c>
      <c r="F136" s="0" t="n">
        <v>422.38</v>
      </c>
      <c r="G136" s="3" t="s">
        <v>67</v>
      </c>
    </row>
    <row r="137" customFormat="false" ht="15" hidden="false" customHeight="false" outlineLevel="0" collapsed="false">
      <c r="A137" s="3" t="s">
        <v>431</v>
      </c>
      <c r="B137" s="3" t="s">
        <v>432</v>
      </c>
      <c r="C137" s="3" t="s">
        <v>433</v>
      </c>
      <c r="D137" s="3" t="s">
        <v>59</v>
      </c>
      <c r="E137" s="0" t="n">
        <v>111.64</v>
      </c>
      <c r="F137" s="0" t="n">
        <v>112.19</v>
      </c>
      <c r="G137" s="3" t="s">
        <v>67</v>
      </c>
    </row>
    <row r="138" customFormat="false" ht="15" hidden="false" customHeight="false" outlineLevel="0" collapsed="false">
      <c r="A138" s="3" t="s">
        <v>434</v>
      </c>
      <c r="B138" s="3" t="s">
        <v>435</v>
      </c>
      <c r="C138" s="3" t="s">
        <v>436</v>
      </c>
      <c r="D138" s="3" t="s">
        <v>59</v>
      </c>
      <c r="E138" s="0" t="n">
        <v>109.29</v>
      </c>
      <c r="F138" s="0" t="n">
        <v>105.37</v>
      </c>
      <c r="G138" s="3" t="s">
        <v>71</v>
      </c>
    </row>
    <row r="139" customFormat="false" ht="15" hidden="false" customHeight="false" outlineLevel="0" collapsed="false">
      <c r="A139" s="3" t="s">
        <v>437</v>
      </c>
      <c r="B139" s="3" t="s">
        <v>438</v>
      </c>
      <c r="C139" s="3" t="s">
        <v>439</v>
      </c>
      <c r="D139" s="3" t="s">
        <v>59</v>
      </c>
      <c r="E139" s="0" t="n">
        <v>265.25</v>
      </c>
      <c r="F139" s="0" t="n">
        <v>256.77</v>
      </c>
      <c r="G139" s="3" t="s">
        <v>60</v>
      </c>
    </row>
    <row r="140" customFormat="false" ht="15" hidden="false" customHeight="false" outlineLevel="0" collapsed="false">
      <c r="A140" s="3" t="s">
        <v>440</v>
      </c>
      <c r="B140" s="3" t="s">
        <v>441</v>
      </c>
      <c r="C140" s="3" t="s">
        <v>442</v>
      </c>
      <c r="D140" s="3" t="s">
        <v>64</v>
      </c>
      <c r="E140" s="0" t="n">
        <v>2711.25</v>
      </c>
      <c r="F140" s="0" t="n">
        <v>2841.84</v>
      </c>
      <c r="G140" s="3" t="s">
        <v>71</v>
      </c>
    </row>
    <row r="141" customFormat="false" ht="15" hidden="false" customHeight="false" outlineLevel="0" collapsed="false">
      <c r="A141" s="3" t="s">
        <v>443</v>
      </c>
      <c r="B141" s="3" t="s">
        <v>444</v>
      </c>
      <c r="C141" s="3" t="s">
        <v>195</v>
      </c>
      <c r="D141" s="3" t="s">
        <v>64</v>
      </c>
      <c r="E141" s="0" t="n">
        <v>2099.25</v>
      </c>
      <c r="F141" s="0" t="n">
        <v>1990.08</v>
      </c>
      <c r="G141" s="3" t="s">
        <v>60</v>
      </c>
    </row>
    <row r="142" customFormat="false" ht="15" hidden="false" customHeight="false" outlineLevel="0" collapsed="false">
      <c r="A142" s="3" t="s">
        <v>445</v>
      </c>
      <c r="B142" s="3" t="s">
        <v>446</v>
      </c>
      <c r="C142" s="3" t="s">
        <v>447</v>
      </c>
      <c r="D142" s="3" t="s">
        <v>59</v>
      </c>
      <c r="E142" s="0" t="n">
        <v>429.55</v>
      </c>
      <c r="F142" s="0" t="n">
        <v>443.57</v>
      </c>
      <c r="G142" s="3" t="s">
        <v>71</v>
      </c>
    </row>
    <row r="143" customFormat="false" ht="15" hidden="false" customHeight="false" outlineLevel="0" collapsed="false">
      <c r="A143" s="3" t="s">
        <v>448</v>
      </c>
      <c r="B143" s="3" t="s">
        <v>449</v>
      </c>
      <c r="C143" s="3" t="s">
        <v>201</v>
      </c>
      <c r="D143" s="3" t="s">
        <v>64</v>
      </c>
      <c r="E143" s="0" t="n">
        <v>1583.93</v>
      </c>
      <c r="F143" s="0" t="n">
        <v>1463.5</v>
      </c>
      <c r="G143" s="3" t="s">
        <v>60</v>
      </c>
    </row>
    <row r="144" customFormat="false" ht="15" hidden="false" customHeight="false" outlineLevel="0" collapsed="false">
      <c r="A144" s="3" t="s">
        <v>450</v>
      </c>
      <c r="B144" s="3" t="s">
        <v>451</v>
      </c>
      <c r="C144" s="3" t="s">
        <v>74</v>
      </c>
      <c r="D144" s="3" t="s">
        <v>64</v>
      </c>
      <c r="E144" s="0" t="n">
        <v>1361.98</v>
      </c>
      <c r="F144" s="0" t="n">
        <v>1376.17</v>
      </c>
      <c r="G144" s="3" t="s">
        <v>60</v>
      </c>
    </row>
    <row r="145" customFormat="false" ht="15" hidden="false" customHeight="false" outlineLevel="0" collapsed="false">
      <c r="A145" s="3" t="s">
        <v>452</v>
      </c>
      <c r="B145" s="3" t="s">
        <v>453</v>
      </c>
      <c r="C145" s="3" t="s">
        <v>186</v>
      </c>
      <c r="D145" s="3" t="s">
        <v>64</v>
      </c>
      <c r="E145" s="0" t="n">
        <v>172.51</v>
      </c>
      <c r="F145" s="0" t="n">
        <v>163.73</v>
      </c>
      <c r="G145" s="3" t="s">
        <v>71</v>
      </c>
    </row>
    <row r="146" customFormat="false" ht="15" hidden="false" customHeight="false" outlineLevel="0" collapsed="false">
      <c r="A146" s="3" t="s">
        <v>454</v>
      </c>
      <c r="B146" s="3" t="s">
        <v>455</v>
      </c>
      <c r="C146" s="3" t="s">
        <v>116</v>
      </c>
      <c r="D146" s="3" t="s">
        <v>64</v>
      </c>
      <c r="E146" s="0" t="n">
        <v>722.02</v>
      </c>
      <c r="F146" s="0" t="n">
        <v>725.68</v>
      </c>
      <c r="G146" s="3" t="s">
        <v>67</v>
      </c>
    </row>
    <row r="147" customFormat="false" ht="15" hidden="false" customHeight="false" outlineLevel="0" collapsed="false">
      <c r="A147" s="3" t="s">
        <v>456</v>
      </c>
      <c r="B147" s="3" t="s">
        <v>457</v>
      </c>
      <c r="C147" s="3" t="s">
        <v>104</v>
      </c>
      <c r="D147" s="3" t="s">
        <v>59</v>
      </c>
      <c r="E147" s="0" t="n">
        <v>244.14</v>
      </c>
      <c r="F147" s="0" t="n">
        <v>245.24</v>
      </c>
      <c r="G147" s="3" t="s">
        <v>67</v>
      </c>
    </row>
    <row r="148" customFormat="false" ht="15" hidden="false" customHeight="false" outlineLevel="0" collapsed="false">
      <c r="A148" s="3" t="s">
        <v>458</v>
      </c>
      <c r="B148" s="3" t="s">
        <v>459</v>
      </c>
      <c r="C148" s="3" t="s">
        <v>350</v>
      </c>
      <c r="D148" s="3" t="s">
        <v>59</v>
      </c>
      <c r="E148" s="0" t="n">
        <v>467.18</v>
      </c>
      <c r="F148" s="0" t="n">
        <v>456.37</v>
      </c>
      <c r="G148" s="3" t="s">
        <v>60</v>
      </c>
    </row>
    <row r="149" customFormat="false" ht="15" hidden="false" customHeight="false" outlineLevel="0" collapsed="false">
      <c r="A149" s="3" t="s">
        <v>460</v>
      </c>
      <c r="B149" s="3" t="s">
        <v>461</v>
      </c>
      <c r="C149" s="3" t="s">
        <v>462</v>
      </c>
      <c r="D149" s="3" t="s">
        <v>59</v>
      </c>
      <c r="E149" s="0" t="n">
        <v>63.97</v>
      </c>
      <c r="F149" s="0" t="n">
        <v>63.21</v>
      </c>
      <c r="G149" s="3" t="s">
        <v>60</v>
      </c>
    </row>
    <row r="150" customFormat="false" ht="15" hidden="false" customHeight="false" outlineLevel="0" collapsed="false">
      <c r="A150" s="3" t="s">
        <v>463</v>
      </c>
      <c r="B150" s="3" t="s">
        <v>464</v>
      </c>
      <c r="C150" s="3" t="s">
        <v>465</v>
      </c>
      <c r="D150" s="3" t="s">
        <v>59</v>
      </c>
      <c r="E150" s="0" t="n">
        <v>168.06</v>
      </c>
      <c r="F150" s="0" t="n">
        <v>166.16</v>
      </c>
      <c r="G150" s="3" t="s">
        <v>67</v>
      </c>
    </row>
    <row r="151" customFormat="false" ht="15" hidden="false" customHeight="false" outlineLevel="0" collapsed="false">
      <c r="A151" s="3" t="s">
        <v>466</v>
      </c>
      <c r="B151" s="3" t="s">
        <v>467</v>
      </c>
      <c r="C151" s="3" t="s">
        <v>468</v>
      </c>
      <c r="D151" s="3" t="s">
        <v>59</v>
      </c>
      <c r="E151" s="0" t="n">
        <v>338.05</v>
      </c>
      <c r="F151" s="0" t="n">
        <v>324.73</v>
      </c>
      <c r="G151" s="3" t="s">
        <v>67</v>
      </c>
    </row>
    <row r="152" customFormat="false" ht="15" hidden="false" customHeight="false" outlineLevel="0" collapsed="false">
      <c r="A152" s="3" t="s">
        <v>469</v>
      </c>
      <c r="B152" s="3" t="s">
        <v>470</v>
      </c>
      <c r="C152" s="3" t="s">
        <v>471</v>
      </c>
      <c r="D152" s="3" t="s">
        <v>64</v>
      </c>
      <c r="E152" s="0" t="n">
        <v>793.1</v>
      </c>
      <c r="F152" s="0" t="n">
        <v>733.42</v>
      </c>
      <c r="G152" s="3" t="s">
        <v>60</v>
      </c>
    </row>
    <row r="153" customFormat="false" ht="15" hidden="false" customHeight="false" outlineLevel="0" collapsed="false">
      <c r="A153" s="3" t="s">
        <v>472</v>
      </c>
      <c r="B153" s="3" t="s">
        <v>473</v>
      </c>
      <c r="C153" s="3" t="s">
        <v>251</v>
      </c>
      <c r="D153" s="3" t="s">
        <v>64</v>
      </c>
      <c r="E153" s="0" t="n">
        <v>1071.54</v>
      </c>
      <c r="F153" s="0" t="n">
        <v>1006.48</v>
      </c>
      <c r="G153" s="3" t="s">
        <v>71</v>
      </c>
    </row>
    <row r="154" customFormat="false" ht="15" hidden="false" customHeight="false" outlineLevel="0" collapsed="false">
      <c r="A154" s="3" t="s">
        <v>474</v>
      </c>
      <c r="B154" s="3" t="s">
        <v>475</v>
      </c>
      <c r="C154" s="3" t="s">
        <v>476</v>
      </c>
      <c r="D154" s="3" t="s">
        <v>59</v>
      </c>
      <c r="E154" s="0" t="n">
        <v>475.63</v>
      </c>
      <c r="F154" s="0" t="n">
        <v>438</v>
      </c>
      <c r="G154" s="3" t="s">
        <v>67</v>
      </c>
    </row>
    <row r="155" customFormat="false" ht="15" hidden="false" customHeight="false" outlineLevel="0" collapsed="false">
      <c r="A155" s="3" t="s">
        <v>477</v>
      </c>
      <c r="B155" s="3" t="s">
        <v>478</v>
      </c>
      <c r="C155" s="3" t="s">
        <v>479</v>
      </c>
      <c r="D155" s="3" t="s">
        <v>59</v>
      </c>
      <c r="E155" s="0" t="n">
        <v>496.31</v>
      </c>
      <c r="F155" s="0" t="n">
        <v>472.4</v>
      </c>
      <c r="G155" s="3" t="s">
        <v>67</v>
      </c>
    </row>
    <row r="156" customFormat="false" ht="15" hidden="false" customHeight="false" outlineLevel="0" collapsed="false">
      <c r="A156" s="3" t="s">
        <v>480</v>
      </c>
      <c r="B156" s="3" t="s">
        <v>481</v>
      </c>
      <c r="C156" s="3" t="s">
        <v>482</v>
      </c>
      <c r="D156" s="3" t="s">
        <v>64</v>
      </c>
      <c r="E156" s="0" t="n">
        <v>2201.67</v>
      </c>
      <c r="F156" s="0" t="n">
        <v>2261.93</v>
      </c>
      <c r="G156" s="3" t="s">
        <v>60</v>
      </c>
    </row>
    <row r="157" customFormat="false" ht="15" hidden="false" customHeight="false" outlineLevel="0" collapsed="false">
      <c r="A157" s="3" t="s">
        <v>483</v>
      </c>
      <c r="B157" s="3" t="s">
        <v>484</v>
      </c>
      <c r="C157" s="3" t="s">
        <v>485</v>
      </c>
      <c r="D157" s="3" t="s">
        <v>64</v>
      </c>
      <c r="E157" s="0" t="n">
        <v>2567.93</v>
      </c>
      <c r="F157" s="0" t="n">
        <v>2720.84</v>
      </c>
      <c r="G157" s="3" t="s">
        <v>67</v>
      </c>
    </row>
    <row r="158" customFormat="false" ht="15" hidden="false" customHeight="false" outlineLevel="0" collapsed="false">
      <c r="A158" s="3" t="s">
        <v>486</v>
      </c>
      <c r="B158" s="3" t="s">
        <v>487</v>
      </c>
      <c r="C158" s="3" t="s">
        <v>488</v>
      </c>
      <c r="D158" s="3" t="s">
        <v>64</v>
      </c>
      <c r="E158" s="0" t="n">
        <v>2399.62</v>
      </c>
      <c r="F158" s="0" t="n">
        <v>2284.58</v>
      </c>
      <c r="G158" s="3" t="s">
        <v>67</v>
      </c>
    </row>
    <row r="159" customFormat="false" ht="15" hidden="false" customHeight="false" outlineLevel="0" collapsed="false">
      <c r="A159" s="3" t="s">
        <v>489</v>
      </c>
      <c r="B159" s="3" t="s">
        <v>490</v>
      </c>
      <c r="C159" s="3" t="s">
        <v>286</v>
      </c>
      <c r="D159" s="3" t="s">
        <v>64</v>
      </c>
      <c r="E159" s="0" t="n">
        <v>2552.75</v>
      </c>
      <c r="F159" s="0" t="n">
        <v>2512.96</v>
      </c>
      <c r="G159" s="3" t="s">
        <v>67</v>
      </c>
    </row>
    <row r="160" customFormat="false" ht="15" hidden="false" customHeight="false" outlineLevel="0" collapsed="false">
      <c r="A160" s="3" t="s">
        <v>491</v>
      </c>
      <c r="B160" s="3" t="s">
        <v>492</v>
      </c>
      <c r="C160" s="3" t="s">
        <v>77</v>
      </c>
      <c r="D160" s="3" t="s">
        <v>64</v>
      </c>
      <c r="E160" s="0" t="n">
        <v>365.48</v>
      </c>
      <c r="F160" s="0" t="n">
        <v>384.34</v>
      </c>
      <c r="G160" s="3" t="s">
        <v>60</v>
      </c>
    </row>
    <row r="161" customFormat="false" ht="15" hidden="false" customHeight="false" outlineLevel="0" collapsed="false">
      <c r="A161" s="3" t="s">
        <v>493</v>
      </c>
      <c r="B161" s="3" t="s">
        <v>494</v>
      </c>
      <c r="C161" s="3" t="s">
        <v>192</v>
      </c>
      <c r="D161" s="3" t="s">
        <v>64</v>
      </c>
      <c r="E161" s="0" t="n">
        <v>205.76</v>
      </c>
      <c r="F161" s="0" t="n">
        <v>219.57</v>
      </c>
      <c r="G161" s="3" t="s">
        <v>67</v>
      </c>
    </row>
    <row r="162" customFormat="false" ht="15" hidden="false" customHeight="false" outlineLevel="0" collapsed="false">
      <c r="A162" s="3" t="s">
        <v>495</v>
      </c>
      <c r="B162" s="3" t="s">
        <v>496</v>
      </c>
      <c r="C162" s="3" t="s">
        <v>339</v>
      </c>
      <c r="D162" s="3" t="s">
        <v>64</v>
      </c>
      <c r="E162" s="0" t="n">
        <v>767.16</v>
      </c>
      <c r="F162" s="0" t="n">
        <v>759.73</v>
      </c>
      <c r="G162" s="3" t="s">
        <v>71</v>
      </c>
    </row>
    <row r="163" customFormat="false" ht="15" hidden="false" customHeight="false" outlineLevel="0" collapsed="false">
      <c r="A163" s="3" t="s">
        <v>497</v>
      </c>
      <c r="B163" s="3" t="s">
        <v>498</v>
      </c>
      <c r="C163" s="3" t="s">
        <v>499</v>
      </c>
      <c r="D163" s="3" t="s">
        <v>59</v>
      </c>
      <c r="E163" s="0" t="n">
        <v>110.71</v>
      </c>
      <c r="F163" s="0" t="n">
        <v>106.36</v>
      </c>
      <c r="G163" s="3" t="s">
        <v>60</v>
      </c>
    </row>
    <row r="164" customFormat="false" ht="15" hidden="false" customHeight="false" outlineLevel="0" collapsed="false">
      <c r="A164" s="3" t="s">
        <v>500</v>
      </c>
      <c r="B164" s="3" t="s">
        <v>501</v>
      </c>
      <c r="C164" s="3" t="s">
        <v>502</v>
      </c>
      <c r="D164" s="3" t="s">
        <v>59</v>
      </c>
      <c r="E164" s="0" t="n">
        <v>97.85</v>
      </c>
      <c r="F164" s="0" t="n">
        <v>96.87</v>
      </c>
      <c r="G164" s="3" t="s">
        <v>60</v>
      </c>
    </row>
    <row r="165" customFormat="false" ht="15" hidden="false" customHeight="false" outlineLevel="0" collapsed="false">
      <c r="A165" s="3" t="s">
        <v>503</v>
      </c>
      <c r="B165" s="3" t="s">
        <v>504</v>
      </c>
      <c r="C165" s="3" t="s">
        <v>505</v>
      </c>
      <c r="D165" s="3" t="s">
        <v>64</v>
      </c>
      <c r="E165" s="0" t="n">
        <v>853.12</v>
      </c>
      <c r="F165" s="0" t="n">
        <v>838.6</v>
      </c>
      <c r="G165" s="3" t="s">
        <v>71</v>
      </c>
    </row>
    <row r="166" customFormat="false" ht="15" hidden="false" customHeight="false" outlineLevel="0" collapsed="false">
      <c r="A166" s="3" t="s">
        <v>506</v>
      </c>
      <c r="B166" s="3" t="s">
        <v>507</v>
      </c>
      <c r="C166" s="3" t="s">
        <v>508</v>
      </c>
      <c r="D166" s="3" t="s">
        <v>64</v>
      </c>
      <c r="E166" s="0" t="n">
        <v>990.71</v>
      </c>
      <c r="F166" s="0" t="n">
        <v>1041.94</v>
      </c>
      <c r="G166" s="3" t="s">
        <v>60</v>
      </c>
    </row>
    <row r="167" customFormat="false" ht="15" hidden="false" customHeight="false" outlineLevel="0" collapsed="false">
      <c r="A167" s="3" t="s">
        <v>509</v>
      </c>
      <c r="B167" s="3" t="s">
        <v>510</v>
      </c>
      <c r="C167" s="3" t="s">
        <v>505</v>
      </c>
      <c r="D167" s="3" t="s">
        <v>64</v>
      </c>
      <c r="E167" s="0" t="n">
        <v>1670.96</v>
      </c>
      <c r="F167" s="0" t="n">
        <v>1558.39</v>
      </c>
      <c r="G167" s="3" t="s">
        <v>60</v>
      </c>
    </row>
    <row r="168" customFormat="false" ht="15" hidden="false" customHeight="false" outlineLevel="0" collapsed="false">
      <c r="A168" s="3" t="s">
        <v>511</v>
      </c>
      <c r="B168" s="3" t="s">
        <v>512</v>
      </c>
      <c r="C168" s="3" t="s">
        <v>219</v>
      </c>
      <c r="D168" s="3" t="s">
        <v>59</v>
      </c>
      <c r="E168" s="0" t="n">
        <v>226.53</v>
      </c>
      <c r="F168" s="0" t="n">
        <v>229.62</v>
      </c>
      <c r="G168" s="3" t="s">
        <v>71</v>
      </c>
    </row>
    <row r="169" customFormat="false" ht="15" hidden="false" customHeight="false" outlineLevel="0" collapsed="false">
      <c r="A169" s="3" t="s">
        <v>513</v>
      </c>
      <c r="B169" s="3" t="s">
        <v>514</v>
      </c>
      <c r="C169" s="3" t="s">
        <v>58</v>
      </c>
      <c r="D169" s="3" t="s">
        <v>64</v>
      </c>
      <c r="E169" s="0" t="n">
        <v>1946.72</v>
      </c>
      <c r="F169" s="0" t="n">
        <v>1954.39</v>
      </c>
      <c r="G169" s="3" t="s">
        <v>67</v>
      </c>
    </row>
    <row r="170" customFormat="false" ht="15" hidden="false" customHeight="false" outlineLevel="0" collapsed="false">
      <c r="A170" s="3" t="s">
        <v>515</v>
      </c>
      <c r="B170" s="3" t="s">
        <v>516</v>
      </c>
      <c r="C170" s="3" t="s">
        <v>143</v>
      </c>
      <c r="D170" s="3" t="s">
        <v>64</v>
      </c>
      <c r="E170" s="0" t="n">
        <v>1081.14</v>
      </c>
      <c r="F170" s="0" t="n">
        <v>1138.34</v>
      </c>
      <c r="G170" s="3" t="s">
        <v>67</v>
      </c>
    </row>
    <row r="171" customFormat="false" ht="15" hidden="false" customHeight="false" outlineLevel="0" collapsed="false">
      <c r="A171" s="3" t="s">
        <v>517</v>
      </c>
      <c r="B171" s="3" t="s">
        <v>518</v>
      </c>
      <c r="C171" s="3" t="s">
        <v>519</v>
      </c>
      <c r="D171" s="3" t="s">
        <v>64</v>
      </c>
      <c r="E171" s="0" t="n">
        <v>1862.3</v>
      </c>
      <c r="F171" s="0" t="n">
        <v>1921.74</v>
      </c>
      <c r="G171" s="3" t="s">
        <v>67</v>
      </c>
    </row>
    <row r="172" customFormat="false" ht="15" hidden="false" customHeight="false" outlineLevel="0" collapsed="false">
      <c r="A172" s="3" t="s">
        <v>520</v>
      </c>
      <c r="B172" s="3" t="s">
        <v>521</v>
      </c>
      <c r="C172" s="3" t="s">
        <v>522</v>
      </c>
      <c r="D172" s="3" t="s">
        <v>59</v>
      </c>
      <c r="E172" s="0" t="n">
        <v>390.16</v>
      </c>
      <c r="F172" s="0" t="n">
        <v>388.6</v>
      </c>
      <c r="G172" s="3" t="s">
        <v>60</v>
      </c>
    </row>
    <row r="173" customFormat="false" ht="15" hidden="false" customHeight="false" outlineLevel="0" collapsed="false">
      <c r="A173" s="3" t="s">
        <v>523</v>
      </c>
      <c r="B173" s="3" t="s">
        <v>524</v>
      </c>
      <c r="C173" s="3" t="s">
        <v>262</v>
      </c>
      <c r="D173" s="3" t="s">
        <v>59</v>
      </c>
      <c r="E173" s="0" t="n">
        <v>62.67</v>
      </c>
      <c r="F173" s="0" t="n">
        <v>57.98</v>
      </c>
      <c r="G173" s="3" t="s">
        <v>71</v>
      </c>
    </row>
    <row r="174" customFormat="false" ht="15" hidden="false" customHeight="false" outlineLevel="0" collapsed="false">
      <c r="A174" s="3" t="s">
        <v>525</v>
      </c>
      <c r="B174" s="3" t="s">
        <v>526</v>
      </c>
      <c r="C174" s="3" t="s">
        <v>527</v>
      </c>
      <c r="D174" s="3" t="s">
        <v>64</v>
      </c>
      <c r="E174" s="0" t="n">
        <v>2694.69</v>
      </c>
      <c r="F174" s="0" t="n">
        <v>2901.57</v>
      </c>
      <c r="G174" s="3" t="s">
        <v>67</v>
      </c>
    </row>
    <row r="175" customFormat="false" ht="15" hidden="false" customHeight="false" outlineLevel="0" collapsed="false">
      <c r="A175" s="3" t="s">
        <v>528</v>
      </c>
      <c r="B175" s="3" t="s">
        <v>529</v>
      </c>
      <c r="C175" s="3" t="s">
        <v>137</v>
      </c>
      <c r="D175" s="3" t="s">
        <v>59</v>
      </c>
      <c r="E175" s="0" t="n">
        <v>1.76</v>
      </c>
      <c r="F175" s="0" t="n">
        <v>1.73</v>
      </c>
      <c r="G175" s="3" t="s">
        <v>67</v>
      </c>
    </row>
    <row r="176" customFormat="false" ht="15" hidden="false" customHeight="false" outlineLevel="0" collapsed="false">
      <c r="A176" s="3" t="s">
        <v>530</v>
      </c>
      <c r="B176" s="3" t="s">
        <v>531</v>
      </c>
      <c r="C176" s="3" t="s">
        <v>532</v>
      </c>
      <c r="D176" s="3" t="s">
        <v>59</v>
      </c>
      <c r="E176" s="0" t="n">
        <v>89.66</v>
      </c>
      <c r="F176" s="0" t="n">
        <v>88.59</v>
      </c>
      <c r="G176" s="3" t="s">
        <v>60</v>
      </c>
    </row>
    <row r="177" customFormat="false" ht="15" hidden="false" customHeight="false" outlineLevel="0" collapsed="false">
      <c r="A177" s="3" t="s">
        <v>533</v>
      </c>
      <c r="B177" s="3" t="s">
        <v>534</v>
      </c>
      <c r="C177" s="3" t="s">
        <v>535</v>
      </c>
      <c r="D177" s="3" t="s">
        <v>64</v>
      </c>
      <c r="E177" s="0" t="n">
        <v>2867.5</v>
      </c>
      <c r="F177" s="0" t="n">
        <v>2780.6</v>
      </c>
      <c r="G177" s="3" t="s">
        <v>71</v>
      </c>
    </row>
    <row r="178" customFormat="false" ht="15" hidden="false" customHeight="false" outlineLevel="0" collapsed="false">
      <c r="A178" s="3" t="s">
        <v>536</v>
      </c>
      <c r="B178" s="3" t="s">
        <v>537</v>
      </c>
      <c r="C178" s="3" t="s">
        <v>538</v>
      </c>
      <c r="D178" s="3" t="s">
        <v>59</v>
      </c>
      <c r="E178" s="0" t="n">
        <v>302.36</v>
      </c>
      <c r="F178" s="0" t="n">
        <v>294.15</v>
      </c>
      <c r="G178" s="3" t="s">
        <v>60</v>
      </c>
    </row>
    <row r="179" customFormat="false" ht="15" hidden="false" customHeight="false" outlineLevel="0" collapsed="false">
      <c r="A179" s="3" t="s">
        <v>539</v>
      </c>
      <c r="B179" s="3" t="s">
        <v>540</v>
      </c>
      <c r="C179" s="3" t="s">
        <v>541</v>
      </c>
      <c r="D179" s="3" t="s">
        <v>64</v>
      </c>
      <c r="E179" s="0" t="n">
        <v>582.08</v>
      </c>
      <c r="F179" s="0" t="n">
        <v>590.4</v>
      </c>
      <c r="G179" s="3" t="s">
        <v>67</v>
      </c>
    </row>
    <row r="180" customFormat="false" ht="15" hidden="false" customHeight="false" outlineLevel="0" collapsed="false">
      <c r="A180" s="3" t="s">
        <v>542</v>
      </c>
      <c r="B180" s="3" t="s">
        <v>543</v>
      </c>
      <c r="C180" s="3" t="s">
        <v>544</v>
      </c>
      <c r="D180" s="3" t="s">
        <v>59</v>
      </c>
      <c r="E180" s="0" t="n">
        <v>69.18</v>
      </c>
      <c r="F180" s="0" t="n">
        <v>72</v>
      </c>
      <c r="G180" s="3" t="s">
        <v>67</v>
      </c>
    </row>
    <row r="181" customFormat="false" ht="15" hidden="false" customHeight="false" outlineLevel="0" collapsed="false">
      <c r="A181" s="3" t="s">
        <v>545</v>
      </c>
      <c r="B181" s="3" t="s">
        <v>546</v>
      </c>
      <c r="C181" s="3" t="s">
        <v>192</v>
      </c>
      <c r="D181" s="3" t="s">
        <v>64</v>
      </c>
      <c r="E181" s="0" t="n">
        <v>1482.96</v>
      </c>
      <c r="F181" s="0" t="n">
        <v>1552.98</v>
      </c>
      <c r="G181" s="3" t="s">
        <v>67</v>
      </c>
    </row>
    <row r="182" customFormat="false" ht="15" hidden="false" customHeight="false" outlineLevel="0" collapsed="false">
      <c r="A182" s="3" t="s">
        <v>547</v>
      </c>
      <c r="B182" s="3" t="s">
        <v>548</v>
      </c>
      <c r="C182" s="3" t="s">
        <v>334</v>
      </c>
      <c r="D182" s="3" t="s">
        <v>64</v>
      </c>
      <c r="E182" s="0" t="n">
        <v>2148.7</v>
      </c>
      <c r="F182" s="0" t="n">
        <v>1994.19</v>
      </c>
      <c r="G182" s="3" t="s">
        <v>67</v>
      </c>
    </row>
    <row r="183" customFormat="false" ht="15" hidden="false" customHeight="false" outlineLevel="0" collapsed="false">
      <c r="A183" s="3" t="s">
        <v>549</v>
      </c>
      <c r="B183" s="3" t="s">
        <v>550</v>
      </c>
      <c r="C183" s="3" t="s">
        <v>551</v>
      </c>
      <c r="D183" s="3" t="s">
        <v>59</v>
      </c>
      <c r="E183" s="0" t="n">
        <v>477.34</v>
      </c>
      <c r="F183" s="0" t="n">
        <v>484.1</v>
      </c>
      <c r="G183" s="3" t="s">
        <v>71</v>
      </c>
    </row>
    <row r="184" customFormat="false" ht="15" hidden="false" customHeight="false" outlineLevel="0" collapsed="false">
      <c r="A184" s="3" t="s">
        <v>552</v>
      </c>
      <c r="B184" s="3" t="s">
        <v>553</v>
      </c>
      <c r="C184" s="3" t="s">
        <v>471</v>
      </c>
      <c r="D184" s="3" t="s">
        <v>64</v>
      </c>
      <c r="E184" s="0" t="n">
        <v>2634.64</v>
      </c>
      <c r="F184" s="0" t="n">
        <v>2704.84</v>
      </c>
      <c r="G184" s="3" t="s">
        <v>67</v>
      </c>
    </row>
    <row r="185" customFormat="false" ht="15" hidden="false" customHeight="false" outlineLevel="0" collapsed="false">
      <c r="A185" s="3" t="s">
        <v>554</v>
      </c>
      <c r="B185" s="3" t="s">
        <v>555</v>
      </c>
      <c r="C185" s="3" t="s">
        <v>556</v>
      </c>
      <c r="D185" s="3" t="s">
        <v>64</v>
      </c>
      <c r="E185" s="0" t="n">
        <v>2899.55</v>
      </c>
      <c r="F185" s="0" t="n">
        <v>2725.26</v>
      </c>
      <c r="G185" s="3" t="s">
        <v>71</v>
      </c>
    </row>
    <row r="186" customFormat="false" ht="15" hidden="false" customHeight="false" outlineLevel="0" collapsed="false">
      <c r="A186" s="3" t="s">
        <v>557</v>
      </c>
      <c r="B186" s="3" t="s">
        <v>558</v>
      </c>
      <c r="C186" s="3" t="s">
        <v>559</v>
      </c>
      <c r="D186" s="3" t="s">
        <v>59</v>
      </c>
      <c r="E186" s="0" t="n">
        <v>330.71</v>
      </c>
      <c r="F186" s="0" t="n">
        <v>317.6</v>
      </c>
      <c r="G186" s="3" t="s">
        <v>71</v>
      </c>
    </row>
    <row r="187" customFormat="false" ht="15" hidden="false" customHeight="false" outlineLevel="0" collapsed="false">
      <c r="A187" s="3" t="s">
        <v>560</v>
      </c>
      <c r="B187" s="3" t="s">
        <v>561</v>
      </c>
      <c r="C187" s="3" t="s">
        <v>562</v>
      </c>
      <c r="D187" s="3" t="s">
        <v>59</v>
      </c>
      <c r="E187" s="0" t="n">
        <v>294.83</v>
      </c>
      <c r="F187" s="0" t="n">
        <v>272.17</v>
      </c>
      <c r="G187" s="3" t="s">
        <v>60</v>
      </c>
    </row>
    <row r="188" customFormat="false" ht="15" hidden="false" customHeight="false" outlineLevel="0" collapsed="false">
      <c r="A188" s="3" t="s">
        <v>563</v>
      </c>
      <c r="B188" s="3" t="s">
        <v>564</v>
      </c>
      <c r="C188" s="3" t="s">
        <v>339</v>
      </c>
      <c r="D188" s="3" t="s">
        <v>64</v>
      </c>
      <c r="E188" s="0" t="n">
        <v>1122.48</v>
      </c>
      <c r="F188" s="0" t="n">
        <v>1150.34</v>
      </c>
      <c r="G188" s="3" t="s">
        <v>71</v>
      </c>
    </row>
    <row r="189" customFormat="false" ht="15" hidden="false" customHeight="false" outlineLevel="0" collapsed="false">
      <c r="A189" s="3" t="s">
        <v>565</v>
      </c>
      <c r="B189" s="3" t="s">
        <v>566</v>
      </c>
      <c r="C189" s="3" t="s">
        <v>535</v>
      </c>
      <c r="D189" s="3" t="s">
        <v>64</v>
      </c>
      <c r="E189" s="0" t="n">
        <v>490.66</v>
      </c>
      <c r="F189" s="0" t="n">
        <v>497.38</v>
      </c>
      <c r="G189" s="3" t="s">
        <v>71</v>
      </c>
    </row>
    <row r="190" customFormat="false" ht="15" hidden="false" customHeight="false" outlineLevel="0" collapsed="false">
      <c r="A190" s="3" t="s">
        <v>567</v>
      </c>
      <c r="B190" s="3" t="s">
        <v>548</v>
      </c>
      <c r="C190" s="3" t="s">
        <v>568</v>
      </c>
      <c r="D190" s="3" t="s">
        <v>64</v>
      </c>
      <c r="E190" s="0" t="n">
        <v>2148.7</v>
      </c>
      <c r="F190" s="0" t="n">
        <v>2163.78</v>
      </c>
      <c r="G190" s="3" t="s">
        <v>67</v>
      </c>
    </row>
    <row r="191" customFormat="false" ht="15" hidden="false" customHeight="false" outlineLevel="0" collapsed="false">
      <c r="A191" s="3" t="s">
        <v>569</v>
      </c>
      <c r="B191" s="3" t="s">
        <v>570</v>
      </c>
      <c r="C191" s="3" t="s">
        <v>571</v>
      </c>
      <c r="D191" s="3" t="s">
        <v>59</v>
      </c>
      <c r="E191" s="0" t="n">
        <v>291.74</v>
      </c>
      <c r="F191" s="0" t="n">
        <v>312.35</v>
      </c>
      <c r="G191" s="3" t="s">
        <v>60</v>
      </c>
    </row>
    <row r="192" customFormat="false" ht="15" hidden="false" customHeight="false" outlineLevel="0" collapsed="false">
      <c r="A192" s="3" t="s">
        <v>572</v>
      </c>
      <c r="B192" s="3" t="s">
        <v>573</v>
      </c>
      <c r="C192" s="3" t="s">
        <v>574</v>
      </c>
      <c r="D192" s="3" t="s">
        <v>64</v>
      </c>
      <c r="E192" s="0" t="n">
        <v>2958.62</v>
      </c>
      <c r="F192" s="0" t="n">
        <v>2754.09</v>
      </c>
      <c r="G192" s="3" t="s">
        <v>71</v>
      </c>
    </row>
    <row r="193" customFormat="false" ht="15" hidden="false" customHeight="false" outlineLevel="0" collapsed="false">
      <c r="A193" s="3" t="s">
        <v>575</v>
      </c>
      <c r="B193" s="3" t="s">
        <v>576</v>
      </c>
      <c r="C193" s="3" t="s">
        <v>368</v>
      </c>
      <c r="D193" s="3" t="s">
        <v>59</v>
      </c>
      <c r="E193" s="0" t="n">
        <v>266.21</v>
      </c>
      <c r="F193" s="0" t="n">
        <v>275.36</v>
      </c>
      <c r="G193" s="3" t="s">
        <v>60</v>
      </c>
    </row>
    <row r="194" customFormat="false" ht="15" hidden="false" customHeight="false" outlineLevel="0" collapsed="false">
      <c r="A194" s="3" t="s">
        <v>577</v>
      </c>
      <c r="B194" s="3" t="s">
        <v>578</v>
      </c>
      <c r="C194" s="3" t="s">
        <v>171</v>
      </c>
      <c r="D194" s="3" t="s">
        <v>64</v>
      </c>
      <c r="E194" s="0" t="n">
        <v>2626.04</v>
      </c>
      <c r="F194" s="0" t="n">
        <v>2734.14</v>
      </c>
      <c r="G194" s="3" t="s">
        <v>71</v>
      </c>
    </row>
    <row r="195" customFormat="false" ht="15" hidden="false" customHeight="false" outlineLevel="0" collapsed="false">
      <c r="A195" s="3" t="s">
        <v>579</v>
      </c>
      <c r="B195" s="3" t="s">
        <v>580</v>
      </c>
      <c r="C195" s="3" t="s">
        <v>581</v>
      </c>
      <c r="D195" s="3" t="s">
        <v>59</v>
      </c>
      <c r="E195" s="0" t="n">
        <v>78.27</v>
      </c>
      <c r="F195" s="0" t="n">
        <v>82.75</v>
      </c>
      <c r="G195" s="3" t="s">
        <v>60</v>
      </c>
    </row>
    <row r="196" customFormat="false" ht="15" hidden="false" customHeight="false" outlineLevel="0" collapsed="false">
      <c r="A196" s="3" t="s">
        <v>582</v>
      </c>
      <c r="B196" s="3" t="s">
        <v>583</v>
      </c>
      <c r="C196" s="3" t="s">
        <v>83</v>
      </c>
      <c r="D196" s="3" t="s">
        <v>64</v>
      </c>
      <c r="E196" s="0" t="n">
        <v>1580.23</v>
      </c>
      <c r="F196" s="0" t="n">
        <v>1613.37</v>
      </c>
      <c r="G196" s="3" t="s">
        <v>71</v>
      </c>
    </row>
    <row r="197" customFormat="false" ht="15" hidden="false" customHeight="false" outlineLevel="0" collapsed="false">
      <c r="A197" s="3" t="s">
        <v>584</v>
      </c>
      <c r="B197" s="3" t="s">
        <v>585</v>
      </c>
      <c r="C197" s="3" t="s">
        <v>95</v>
      </c>
      <c r="D197" s="3" t="s">
        <v>59</v>
      </c>
      <c r="E197" s="0" t="n">
        <v>58.41</v>
      </c>
      <c r="F197" s="0" t="n">
        <v>56.26</v>
      </c>
      <c r="G197" s="3" t="s">
        <v>60</v>
      </c>
    </row>
    <row r="198" customFormat="false" ht="15" hidden="false" customHeight="false" outlineLevel="0" collapsed="false">
      <c r="A198" s="3" t="s">
        <v>586</v>
      </c>
      <c r="B198" s="3" t="s">
        <v>587</v>
      </c>
      <c r="C198" s="3" t="s">
        <v>107</v>
      </c>
      <c r="D198" s="3" t="s">
        <v>59</v>
      </c>
      <c r="E198" s="0" t="n">
        <v>333.76</v>
      </c>
      <c r="F198" s="0" t="n">
        <v>307.22</v>
      </c>
      <c r="G198" s="3" t="s">
        <v>60</v>
      </c>
    </row>
    <row r="199" customFormat="false" ht="15" hidden="false" customHeight="false" outlineLevel="0" collapsed="false">
      <c r="A199" s="3" t="s">
        <v>588</v>
      </c>
      <c r="B199" s="3" t="s">
        <v>589</v>
      </c>
      <c r="C199" s="3" t="s">
        <v>270</v>
      </c>
      <c r="D199" s="3" t="s">
        <v>64</v>
      </c>
      <c r="E199" s="0" t="n">
        <v>2267.48</v>
      </c>
      <c r="F199" s="0" t="n">
        <v>2176.52</v>
      </c>
      <c r="G199" s="3" t="s">
        <v>67</v>
      </c>
    </row>
    <row r="200" customFormat="false" ht="15" hidden="false" customHeight="false" outlineLevel="0" collapsed="false">
      <c r="A200" s="3" t="s">
        <v>590</v>
      </c>
      <c r="B200" s="3" t="s">
        <v>591</v>
      </c>
      <c r="C200" s="3" t="s">
        <v>592</v>
      </c>
      <c r="D200" s="3" t="s">
        <v>59</v>
      </c>
      <c r="E200" s="0" t="n">
        <v>438.05</v>
      </c>
      <c r="F200" s="0" t="n">
        <v>472.92</v>
      </c>
      <c r="G200" s="3" t="s">
        <v>67</v>
      </c>
    </row>
    <row r="201" customFormat="false" ht="15" hidden="false" customHeight="false" outlineLevel="0" collapsed="false">
      <c r="A201" s="3" t="s">
        <v>593</v>
      </c>
      <c r="B201" s="3" t="s">
        <v>333</v>
      </c>
      <c r="C201" s="3" t="s">
        <v>594</v>
      </c>
      <c r="D201" s="3" t="s">
        <v>59</v>
      </c>
      <c r="E201" s="0" t="n">
        <v>144.35</v>
      </c>
      <c r="F201" s="0" t="n">
        <v>134.32</v>
      </c>
      <c r="G201" s="3" t="s">
        <v>60</v>
      </c>
    </row>
    <row r="202" customFormat="false" ht="15" hidden="false" customHeight="false" outlineLevel="0" collapsed="false">
      <c r="A202" s="3" t="s">
        <v>595</v>
      </c>
      <c r="B202" s="3" t="s">
        <v>596</v>
      </c>
      <c r="C202" s="3" t="s">
        <v>256</v>
      </c>
      <c r="D202" s="3" t="s">
        <v>64</v>
      </c>
      <c r="E202" s="0" t="n">
        <v>1658.72</v>
      </c>
      <c r="F202" s="0" t="n">
        <v>1734.21</v>
      </c>
      <c r="G202" s="3" t="s">
        <v>67</v>
      </c>
    </row>
    <row r="203" customFormat="false" ht="15" hidden="false" customHeight="false" outlineLevel="0" collapsed="false">
      <c r="A203" s="3" t="s">
        <v>597</v>
      </c>
      <c r="B203" s="3" t="s">
        <v>598</v>
      </c>
      <c r="C203" s="3" t="s">
        <v>195</v>
      </c>
      <c r="D203" s="3" t="s">
        <v>64</v>
      </c>
      <c r="E203" s="0" t="n">
        <v>20.01</v>
      </c>
      <c r="F203" s="0" t="n">
        <v>18.54</v>
      </c>
      <c r="G203" s="3" t="s">
        <v>67</v>
      </c>
    </row>
    <row r="204" customFormat="false" ht="15" hidden="false" customHeight="false" outlineLevel="0" collapsed="false">
      <c r="A204" s="3" t="s">
        <v>599</v>
      </c>
      <c r="B204" s="3" t="s">
        <v>600</v>
      </c>
      <c r="C204" s="3" t="s">
        <v>571</v>
      </c>
      <c r="D204" s="3" t="s">
        <v>59</v>
      </c>
      <c r="E204" s="0" t="n">
        <v>383.47</v>
      </c>
      <c r="F204" s="0" t="n">
        <v>390.25</v>
      </c>
      <c r="G204" s="3" t="s">
        <v>71</v>
      </c>
    </row>
    <row r="205" customFormat="false" ht="15" hidden="false" customHeight="false" outlineLevel="0" collapsed="false">
      <c r="A205" s="3" t="s">
        <v>601</v>
      </c>
      <c r="B205" s="3" t="s">
        <v>602</v>
      </c>
      <c r="C205" s="3" t="s">
        <v>603</v>
      </c>
      <c r="D205" s="3" t="s">
        <v>64</v>
      </c>
      <c r="E205" s="0" t="n">
        <v>1083.74</v>
      </c>
      <c r="F205" s="0" t="n">
        <v>1084.06</v>
      </c>
      <c r="G205" s="3" t="s">
        <v>67</v>
      </c>
    </row>
    <row r="206" customFormat="false" ht="15" hidden="false" customHeight="false" outlineLevel="0" collapsed="false">
      <c r="A206" s="3" t="s">
        <v>604</v>
      </c>
      <c r="B206" s="3" t="s">
        <v>605</v>
      </c>
      <c r="C206" s="3" t="s">
        <v>606</v>
      </c>
      <c r="D206" s="3" t="s">
        <v>59</v>
      </c>
      <c r="E206" s="0" t="n">
        <v>189.72</v>
      </c>
      <c r="F206" s="0" t="n">
        <v>199.06</v>
      </c>
      <c r="G206" s="3" t="s">
        <v>71</v>
      </c>
    </row>
    <row r="207" customFormat="false" ht="15" hidden="false" customHeight="false" outlineLevel="0" collapsed="false">
      <c r="A207" s="3" t="s">
        <v>607</v>
      </c>
      <c r="B207" s="3" t="s">
        <v>608</v>
      </c>
      <c r="C207" s="3" t="s">
        <v>609</v>
      </c>
      <c r="D207" s="3" t="s">
        <v>59</v>
      </c>
      <c r="E207" s="0" t="n">
        <v>15.05</v>
      </c>
      <c r="F207" s="0" t="n">
        <v>14.56</v>
      </c>
      <c r="G207" s="3" t="s">
        <v>71</v>
      </c>
    </row>
    <row r="208" customFormat="false" ht="15" hidden="false" customHeight="false" outlineLevel="0" collapsed="false">
      <c r="A208" s="3" t="s">
        <v>610</v>
      </c>
      <c r="B208" s="3" t="s">
        <v>611</v>
      </c>
      <c r="C208" s="3" t="s">
        <v>505</v>
      </c>
      <c r="D208" s="3" t="s">
        <v>59</v>
      </c>
      <c r="E208" s="0" t="n">
        <v>186.21</v>
      </c>
      <c r="F208" s="0" t="n">
        <v>196.05</v>
      </c>
      <c r="G208" s="3" t="s">
        <v>60</v>
      </c>
    </row>
    <row r="209" customFormat="false" ht="15" hidden="false" customHeight="false" outlineLevel="0" collapsed="false">
      <c r="A209" s="3" t="s">
        <v>612</v>
      </c>
      <c r="B209" s="3" t="s">
        <v>613</v>
      </c>
      <c r="C209" s="3" t="s">
        <v>614</v>
      </c>
      <c r="D209" s="3" t="s">
        <v>59</v>
      </c>
      <c r="E209" s="0" t="n">
        <v>164.71</v>
      </c>
      <c r="F209" s="0" t="n">
        <v>173.19</v>
      </c>
      <c r="G209" s="3" t="s">
        <v>60</v>
      </c>
    </row>
    <row r="210" customFormat="false" ht="15" hidden="false" customHeight="false" outlineLevel="0" collapsed="false">
      <c r="A210" s="3" t="s">
        <v>615</v>
      </c>
      <c r="B210" s="3" t="s">
        <v>616</v>
      </c>
      <c r="C210" s="3" t="s">
        <v>617</v>
      </c>
      <c r="D210" s="3" t="s">
        <v>64</v>
      </c>
      <c r="E210" s="0" t="n">
        <v>1533.9</v>
      </c>
      <c r="F210" s="0" t="n">
        <v>1639.25</v>
      </c>
      <c r="G210" s="3" t="s">
        <v>71</v>
      </c>
    </row>
    <row r="211" customFormat="false" ht="15" hidden="false" customHeight="false" outlineLevel="0" collapsed="false">
      <c r="A211" s="3" t="s">
        <v>618</v>
      </c>
      <c r="B211" s="3" t="s">
        <v>619</v>
      </c>
      <c r="C211" s="3" t="s">
        <v>195</v>
      </c>
      <c r="D211" s="3" t="s">
        <v>59</v>
      </c>
      <c r="E211" s="0" t="n">
        <v>413.15</v>
      </c>
      <c r="F211" s="0" t="n">
        <v>406.21</v>
      </c>
      <c r="G211" s="3" t="s">
        <v>60</v>
      </c>
    </row>
  </sheetData>
  <autoFilter ref="A1:G21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2026-09-26T18:53:08Z</dcterms:created>
  <dc:creator>openpyxl</dc:creator>
  <dc:description/>
  <dc:language>en-US</dc:language>
  <cp:lastModifiedBy/>
  <dcterms:modified xsi:type="dcterms:W3CDTF">2026-09-26T18:53:08Z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