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1'!$A$1:$I$31</definedName>
    <definedName function="false" hidden="false" localSheetId="3" name="_xlnm.Print_Titles" vbProcedure="false">'Data 1'!$1:$1</definedName>
    <definedName function="false" hidden="true" localSheetId="3" name="_xlnm._FilterDatabase" vbProcedure="false">'Data 1'!$A$1:$I$144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<sst xmlns="http://schemas.openxmlformats.org/spreadsheetml/2006/main" count="685" uniqueCount="229">
  <si>
    <t xml:space="preserve">Outpatient Scheduling Access Report, June–August 2026</t>
  </si>
  <si>
    <t xml:space="preserve">Tallowbrook Health</t>
  </si>
  <si>
    <t xml:space="preserve">Effective date</t>
  </si>
  <si>
    <t xml:space="preserve">2026-09-03</t>
  </si>
  <si>
    <t xml:space="preserve">Purpose</t>
  </si>
  <si>
    <t xml:space="preserve">Provide weekly slots offered, booked and completed and third-next-available by schedule at the Pavilion and Stafford.</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</si>
  <si>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</si>
  <si>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</si>
  <si>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</si>
  <si>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</si>
  <si>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</si>
  <si>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Weekly access measures for 11 outpatient schedules at Tallowbrook Outpatient Pavilion West and Imaging &amp; Therapy Stafford, weeks beginning June 1 through August 24, 2026. Prepared by Patient Access &amp; Central Scheduling from the EHR enterprise scheduling module. Extracted September 3, 2026.</t>
  </si>
  <si>
    <t xml:space="preserve">Contents</t>
  </si>
  <si>
    <t xml:space="preserve">One row per schedule per week (11 schedules x 13 weeks).</t>
  </si>
  <si>
    <t xml:space="preserve">All imaging, infusion and therapy schedules booked by central scheduling at the two sites. Hospital outpatient imaging at Medical Center West and Hospital Fort Bend, Mission Bend and the Surgery Center Grand Parkway are not included.</t>
  </si>
  <si>
    <t xml:space="preserve">Definitions and cautions</t>
  </si>
  <si>
    <t xml:space="preserve">Slots offered are template slots for the week after holidays and planned downtime; the week of June 29 had a reduced template for the July 4 holiday.</t>
  </si>
  <si>
    <t xml:space="preserve">Not completed = booked minus completed, covering no-shows and cancellations inside 24 hours.</t>
  </si>
  <si>
    <t xml:space="preserve">Third-next-available (days) is a snapshot taken Monday at 7 a.m.; do not sum or average it across schedules as a volume.</t>
  </si>
  <si>
    <t xml:space="preserve">Therapy schedules count visits, not units of service.</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</si>
  <si>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</si>
  <si>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</si>
  <si>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</si>
  <si>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</si>
  <si>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</si>
  <si>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</si>
  <si>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</si>
  <si>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</si>
  <si>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Outpatient Scheduling Access</t>
  </si>
  <si>
    <t xml:space="preserve">slots_offered</t>
  </si>
  <si>
    <t xml:space="preserve">slots</t>
  </si>
  <si>
    <t xml:space="preserve">2026-06-01</t>
  </si>
  <si>
    <t xml:space="preserve">2026-08-30</t>
  </si>
  <si>
    <t xml:space="preserve">slots_booked</t>
  </si>
  <si>
    <t xml:space="preserve">visits_completed</t>
  </si>
  <si>
    <t xml:space="preserve">visits</t>
  </si>
  <si>
    <t xml:space="preserve">not_completed</t>
  </si>
  <si>
    <t xml:space="preserve">third_next_available_days</t>
  </si>
  <si>
    <t xml:space="preserve">days</t>
  </si>
  <si>
    <t xml:space="preserve">Field</t>
  </si>
  <si>
    <t xml:space="preserve">Definition</t>
  </si>
  <si>
    <t xml:space="preserve">Type</t>
  </si>
  <si>
    <t xml:space="preserve">Reference</t>
  </si>
  <si>
    <t xml:space="preserve">record_id</t>
  </si>
  <si>
    <t xml:space="preserve">Row identifier</t>
  </si>
  <si>
    <t xml:space="preserve">id</t>
  </si>
  <si>
    <t xml:space="preserve">schedule</t>
  </si>
  <si>
    <t xml:space="preserve">Site and modality or service</t>
  </si>
  <si>
    <t xml:space="preserve">category</t>
  </si>
  <si>
    <t xml:space="preserve">site</t>
  </si>
  <si>
    <t xml:space="preserve">Facility</t>
  </si>
  <si>
    <t xml:space="preserve">week_start</t>
  </si>
  <si>
    <t xml:space="preserve">Monday of the week</t>
  </si>
  <si>
    <t xml:space="preserve">date</t>
  </si>
  <si>
    <t xml:space="preserve">Appointment slots in the template</t>
  </si>
  <si>
    <t xml:space="preserve">integer</t>
  </si>
  <si>
    <t xml:space="preserve">Slots booked</t>
  </si>
  <si>
    <t xml:space="preserve">Appointments completed</t>
  </si>
  <si>
    <t xml:space="preserve">Booked but not completed (no-show or late cancellation)</t>
  </si>
  <si>
    <t xml:space="preserve">Third-next-available appointment, days (Monday snapshot)</t>
  </si>
  <si>
    <t xml:space="preserve">number</t>
  </si>
  <si>
    <t xml:space="preserve">access_slots-000001</t>
  </si>
  <si>
    <t xml:space="preserve">Pavilion MRI</t>
  </si>
  <si>
    <t xml:space="preserve">Outpatient Pavilion West</t>
  </si>
  <si>
    <t xml:space="preserve">access_slots-000002</t>
  </si>
  <si>
    <t xml:space="preserve">2026-06-08</t>
  </si>
  <si>
    <t xml:space="preserve">access_slots-000003</t>
  </si>
  <si>
    <t xml:space="preserve">2026-06-15</t>
  </si>
  <si>
    <t xml:space="preserve">access_slots-000004</t>
  </si>
  <si>
    <t xml:space="preserve">2026-06-22</t>
  </si>
  <si>
    <t xml:space="preserve">access_slots-000005</t>
  </si>
  <si>
    <t xml:space="preserve">2026-06-29</t>
  </si>
  <si>
    <t xml:space="preserve">access_slots-000006</t>
  </si>
  <si>
    <t xml:space="preserve">2026-07-06</t>
  </si>
  <si>
    <t xml:space="preserve">access_slots-000007</t>
  </si>
  <si>
    <t xml:space="preserve">2026-07-13</t>
  </si>
  <si>
    <t xml:space="preserve">access_slots-000008</t>
  </si>
  <si>
    <t xml:space="preserve">2026-07-20</t>
  </si>
  <si>
    <t xml:space="preserve">access_slots-000009</t>
  </si>
  <si>
    <t xml:space="preserve">2026-07-27</t>
  </si>
  <si>
    <t xml:space="preserve">access_slots-000010</t>
  </si>
  <si>
    <t xml:space="preserve">2026-08-03</t>
  </si>
  <si>
    <t xml:space="preserve">access_slots-000011</t>
  </si>
  <si>
    <t xml:space="preserve">2026-08-10</t>
  </si>
  <si>
    <t xml:space="preserve">access_slots-000012</t>
  </si>
  <si>
    <t xml:space="preserve">2026-08-17</t>
  </si>
  <si>
    <t xml:space="preserve">access_slots-000013</t>
  </si>
  <si>
    <t xml:space="preserve">2026-08-24</t>
  </si>
  <si>
    <t xml:space="preserve">access_slots-000014</t>
  </si>
  <si>
    <t xml:space="preserve">Pavilion CT</t>
  </si>
  <si>
    <t xml:space="preserve">access_slots-000015</t>
  </si>
  <si>
    <t xml:space="preserve">access_slots-000016</t>
  </si>
  <si>
    <t xml:space="preserve">access_slots-000017</t>
  </si>
  <si>
    <t xml:space="preserve">access_slots-000018</t>
  </si>
  <si>
    <t xml:space="preserve">access_slots-000019</t>
  </si>
  <si>
    <t xml:space="preserve">access_slots-000020</t>
  </si>
  <si>
    <t xml:space="preserve">access_slots-000021</t>
  </si>
  <si>
    <t xml:space="preserve">access_slots-000022</t>
  </si>
  <si>
    <t xml:space="preserve">access_slots-000023</t>
  </si>
  <si>
    <t xml:space="preserve">access_slots-000024</t>
  </si>
  <si>
    <t xml:space="preserve">access_slots-000025</t>
  </si>
  <si>
    <t xml:space="preserve">access_slots-000026</t>
  </si>
  <si>
    <t xml:space="preserve">access_slots-000027</t>
  </si>
  <si>
    <t xml:space="preserve">Pavilion Ultrasound</t>
  </si>
  <si>
    <t xml:space="preserve">access_slots-000028</t>
  </si>
  <si>
    <t xml:space="preserve">access_slots-000029</t>
  </si>
  <si>
    <t xml:space="preserve">access_slots-000030</t>
  </si>
  <si>
    <t xml:space="preserve">access_slots-000031</t>
  </si>
  <si>
    <t xml:space="preserve">access_slots-000032</t>
  </si>
  <si>
    <t xml:space="preserve">access_slots-000033</t>
  </si>
  <si>
    <t xml:space="preserve">access_slots-000034</t>
  </si>
  <si>
    <t xml:space="preserve">access_slots-000035</t>
  </si>
  <si>
    <t xml:space="preserve">access_slots-000036</t>
  </si>
  <si>
    <t xml:space="preserve">access_slots-000037</t>
  </si>
  <si>
    <t xml:space="preserve">access_slots-000038</t>
  </si>
  <si>
    <t xml:space="preserve">access_slots-000039</t>
  </si>
  <si>
    <t xml:space="preserve">access_slots-000040</t>
  </si>
  <si>
    <t xml:space="preserve">Pavilion Mammography</t>
  </si>
  <si>
    <t xml:space="preserve">access_slots-000041</t>
  </si>
  <si>
    <t xml:space="preserve">access_slots-000042</t>
  </si>
  <si>
    <t xml:space="preserve">access_slots-000043</t>
  </si>
  <si>
    <t xml:space="preserve">access_slots-000044</t>
  </si>
  <si>
    <t xml:space="preserve">access_slots-000045</t>
  </si>
  <si>
    <t xml:space="preserve">access_slots-000046</t>
  </si>
  <si>
    <t xml:space="preserve">access_slots-000047</t>
  </si>
  <si>
    <t xml:space="preserve">access_slots-000048</t>
  </si>
  <si>
    <t xml:space="preserve">access_slots-000049</t>
  </si>
  <si>
    <t xml:space="preserve">access_slots-000050</t>
  </si>
  <si>
    <t xml:space="preserve">access_slots-000051</t>
  </si>
  <si>
    <t xml:space="preserve">access_slots-000052</t>
  </si>
  <si>
    <t xml:space="preserve">access_slots-000053</t>
  </si>
  <si>
    <t xml:space="preserve">Pavilion Infusion</t>
  </si>
  <si>
    <t xml:space="preserve">access_slots-000054</t>
  </si>
  <si>
    <t xml:space="preserve">access_slots-000055</t>
  </si>
  <si>
    <t xml:space="preserve">access_slots-000056</t>
  </si>
  <si>
    <t xml:space="preserve">access_slots-000057</t>
  </si>
  <si>
    <t xml:space="preserve">access_slots-000058</t>
  </si>
  <si>
    <t xml:space="preserve">access_slots-000059</t>
  </si>
  <si>
    <t xml:space="preserve">access_slots-000060</t>
  </si>
  <si>
    <t xml:space="preserve">access_slots-000061</t>
  </si>
  <si>
    <t xml:space="preserve">access_slots-000062</t>
  </si>
  <si>
    <t xml:space="preserve">access_slots-000063</t>
  </si>
  <si>
    <t xml:space="preserve">access_slots-000064</t>
  </si>
  <si>
    <t xml:space="preserve">access_slots-000065</t>
  </si>
  <si>
    <t xml:space="preserve">access_slots-000066</t>
  </si>
  <si>
    <t xml:space="preserve">Pavilion PT/OT</t>
  </si>
  <si>
    <t xml:space="preserve">access_slots-000067</t>
  </si>
  <si>
    <t xml:space="preserve">access_slots-000068</t>
  </si>
  <si>
    <t xml:space="preserve">access_slots-000069</t>
  </si>
  <si>
    <t xml:space="preserve">access_slots-000070</t>
  </si>
  <si>
    <t xml:space="preserve">access_slots-000071</t>
  </si>
  <si>
    <t xml:space="preserve">access_slots-000072</t>
  </si>
  <si>
    <t xml:space="preserve">access_slots-000073</t>
  </si>
  <si>
    <t xml:space="preserve">access_slots-000074</t>
  </si>
  <si>
    <t xml:space="preserve">access_slots-000075</t>
  </si>
  <si>
    <t xml:space="preserve">access_slots-000076</t>
  </si>
  <si>
    <t xml:space="preserve">access_slots-000077</t>
  </si>
  <si>
    <t xml:space="preserve">access_slots-000078</t>
  </si>
  <si>
    <t xml:space="preserve">access_slots-000079</t>
  </si>
  <si>
    <t xml:space="preserve">Stafford MRI</t>
  </si>
  <si>
    <t xml:space="preserve">Imaging &amp; Therapy Stafford</t>
  </si>
  <si>
    <t xml:space="preserve">access_slots-000080</t>
  </si>
  <si>
    <t xml:space="preserve">access_slots-000081</t>
  </si>
  <si>
    <t xml:space="preserve">access_slots-000082</t>
  </si>
  <si>
    <t xml:space="preserve">access_slots-000083</t>
  </si>
  <si>
    <t xml:space="preserve">access_slots-000084</t>
  </si>
  <si>
    <t xml:space="preserve">access_slots-000085</t>
  </si>
  <si>
    <t xml:space="preserve">access_slots-000086</t>
  </si>
  <si>
    <t xml:space="preserve">access_slots-000087</t>
  </si>
  <si>
    <t xml:space="preserve">access_slots-000088</t>
  </si>
  <si>
    <t xml:space="preserve">access_slots-000089</t>
  </si>
  <si>
    <t xml:space="preserve">access_slots-000090</t>
  </si>
  <si>
    <t xml:space="preserve">access_slots-000091</t>
  </si>
  <si>
    <t xml:space="preserve">access_slots-000092</t>
  </si>
  <si>
    <t xml:space="preserve">Stafford CT</t>
  </si>
  <si>
    <t xml:space="preserve">access_slots-000093</t>
  </si>
  <si>
    <t xml:space="preserve">access_slots-000094</t>
  </si>
  <si>
    <t xml:space="preserve">access_slots-000095</t>
  </si>
  <si>
    <t xml:space="preserve">access_slots-000096</t>
  </si>
  <si>
    <t xml:space="preserve">access_slots-000097</t>
  </si>
  <si>
    <t xml:space="preserve">access_slots-000098</t>
  </si>
  <si>
    <t xml:space="preserve">access_slots-000099</t>
  </si>
  <si>
    <t xml:space="preserve">access_slots-000100</t>
  </si>
  <si>
    <t xml:space="preserve">access_slots-000101</t>
  </si>
  <si>
    <t xml:space="preserve">access_slots-000102</t>
  </si>
  <si>
    <t xml:space="preserve">access_slots-000103</t>
  </si>
  <si>
    <t xml:space="preserve">access_slots-000104</t>
  </si>
  <si>
    <t xml:space="preserve">access_slots-000105</t>
  </si>
  <si>
    <t xml:space="preserve">Stafford Ultrasound</t>
  </si>
  <si>
    <t xml:space="preserve">access_slots-000106</t>
  </si>
  <si>
    <t xml:space="preserve">access_slots-000107</t>
  </si>
  <si>
    <t xml:space="preserve">access_slots-000108</t>
  </si>
  <si>
    <t xml:space="preserve">access_slots-000109</t>
  </si>
  <si>
    <t xml:space="preserve">access_slots-000110</t>
  </si>
  <si>
    <t xml:space="preserve">access_slots-000111</t>
  </si>
  <si>
    <t xml:space="preserve">access_slots-000112</t>
  </si>
  <si>
    <t xml:space="preserve">access_slots-000113</t>
  </si>
  <si>
    <t xml:space="preserve">access_slots-000114</t>
  </si>
  <si>
    <t xml:space="preserve">access_slots-000115</t>
  </si>
  <si>
    <t xml:space="preserve">access_slots-000116</t>
  </si>
  <si>
    <t xml:space="preserve">access_slots-000117</t>
  </si>
  <si>
    <t xml:space="preserve">access_slots-000118</t>
  </si>
  <si>
    <t xml:space="preserve">Stafford Mammography</t>
  </si>
  <si>
    <t xml:space="preserve">access_slots-000119</t>
  </si>
  <si>
    <t xml:space="preserve">access_slots-000120</t>
  </si>
  <si>
    <t xml:space="preserve">access_slots-000121</t>
  </si>
  <si>
    <t xml:space="preserve">access_slots-000122</t>
  </si>
  <si>
    <t xml:space="preserve">access_slots-000123</t>
  </si>
  <si>
    <t xml:space="preserve">access_slots-000124</t>
  </si>
  <si>
    <t xml:space="preserve">access_slots-000125</t>
  </si>
  <si>
    <t xml:space="preserve">access_slots-000126</t>
  </si>
  <si>
    <t xml:space="preserve">access_slots-000127</t>
  </si>
  <si>
    <t xml:space="preserve">access_slots-000128</t>
  </si>
  <si>
    <t xml:space="preserve">access_slots-000129</t>
  </si>
  <si>
    <t xml:space="preserve">access_slots-000130</t>
  </si>
  <si>
    <t xml:space="preserve">access_slots-000131</t>
  </si>
  <si>
    <t xml:space="preserve">Stafford PT</t>
  </si>
  <si>
    <t xml:space="preserve">access_slots-000132</t>
  </si>
  <si>
    <t xml:space="preserve">access_slots-000133</t>
  </si>
  <si>
    <t xml:space="preserve">access_slots-000134</t>
  </si>
  <si>
    <t xml:space="preserve">access_slots-000135</t>
  </si>
  <si>
    <t xml:space="preserve">access_slots-000136</t>
  </si>
  <si>
    <t xml:space="preserve">access_slots-000137</t>
  </si>
  <si>
    <t xml:space="preserve">access_slots-000138</t>
  </si>
  <si>
    <t xml:space="preserve">access_slots-000139</t>
  </si>
  <si>
    <t xml:space="preserve">access_slots-000140</t>
  </si>
  <si>
    <t xml:space="preserve">access_slots-000141</t>
  </si>
  <si>
    <t xml:space="preserve">access_slots-000142</t>
  </si>
  <si>
    <t xml:space="preserve">access_slots-000143</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</si>
</sst>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I144" headerRowCount="1" totalsRowCount="0" totalsRowShown="0">
  <autoFilter ref="A1:I144"/>
  <tableColumns count="9">
    <tableColumn id="1" name="record_id"/>
    <tableColumn id="2" name="schedule"/>
    <tableColumn id="3" name="site"/>
    <tableColumn id="4" name="week_start"/>
    <tableColumn id="5" name="slots_offered"/>
    <tableColumn id="6" name="slots_booked"/>
    <tableColumn id="7" name="visits_completed"/>
    <tableColumn id="8" name="not_completed"/>
    <tableColumn id="9" name="third_next_available_day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39.5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31.5" hidden="false" customHeight="true" outlineLevel="0" collapsed="false">
      <c r="A8" s="3" t="s">
        <v>12</v>
      </c>
      <c r="B8" s="3" t="s">
        <v>13</v>
      </c>
    </row>
    <row r="9" customFormat="false" ht="45" hidden="false" customHeight="true" outlineLevel="0" collapsed="false">
      <c r="A9" s="3" t="s">
        <v>6</v>
      </c>
      <c r="B9" s="3" t="s">
        <v>14</v>
      </c>
    </row>
    <row r="10" customFormat="false" ht="31.5" hidden="false" customHeight="true" outlineLevel="0" collapsed="false">
      <c r="A10" s="3" t="s">
        <v>15</v>
      </c>
      <c r="B10" s="3" t="s">
        <v>16</v>
      </c>
    </row>
    <row r="11" customFormat="false" ht="31.5" hidden="false" customHeight="true" outlineLevel="0" collapsed="false">
      <c r="A11" s="3" t="s">
        <v>15</v>
      </c>
      <c r="B11" s="3" t="s">
        <v>17</v>
      </c>
    </row>
    <row r="12" customFormat="false" ht="31.5" hidden="false" customHeight="true" outlineLevel="0" collapsed="false">
      <c r="A12" s="3" t="s">
        <v>15</v>
      </c>
      <c r="B12" s="3" t="s">
        <v>18</v>
      </c>
    </row>
    <row r="13" customFormat="false" ht="31.5" hidden="false" customHeight="true" outlineLevel="0" collapsed="false">
      <c r="A13" s="3" t="s">
        <v>15</v>
      </c>
      <c r="B13" s="3" t="s">
        <v>19</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20</v>
      </c>
      <c r="B1" s="1" t="s">
        <v>21</v>
      </c>
      <c r="C1" s="1" t="s">
        <v>22</v>
      </c>
      <c r="D1" s="1" t="s">
        <v>23</v>
      </c>
      <c r="E1" s="1" t="s">
        <v>24</v>
      </c>
      <c r="F1" s="1" t="s">
        <v>25</v>
      </c>
      <c r="G1" s="1" t="s">
        <v>26</v>
      </c>
      <c r="H1" s="1" t="s">
        <v>27</v>
      </c>
    </row>
    <row r="2" customFormat="false" ht="45" hidden="false" customHeight="true" outlineLevel="0" collapsed="false">
      <c r="A2" s="3" t="s">
        <v>28</v>
      </c>
      <c r="B2" s="3" t="s">
        <v>29</v>
      </c>
      <c r="C2" s="3" t="s">
        <v>30</v>
      </c>
      <c r="D2" s="4" t="n">
        <f aca="false">SUM('Data 1'!E2:E144)</f>
        <v>27651</v>
      </c>
      <c r="E2" s="4" t="n">
        <f aca="false">IF(COUNT('Data 1'!E2:E144)=0,0,AVERAGE('Data 1'!E2:E144))</f>
        <v>193.363636363636</v>
      </c>
      <c r="F2" s="0" t="n">
        <f aca="false">COUNT('Data 1'!E2:E144)</f>
        <v>143</v>
      </c>
      <c r="G2" s="3" t="s">
        <v>31</v>
      </c>
      <c r="H2" s="3" t="s">
        <v>32</v>
      </c>
    </row>
    <row r="3" customFormat="false" ht="45" hidden="false" customHeight="true" outlineLevel="0" collapsed="false">
      <c r="A3" s="3" t="s">
        <v>28</v>
      </c>
      <c r="B3" s="3" t="s">
        <v>33</v>
      </c>
      <c r="C3" s="3" t="s">
        <v>30</v>
      </c>
      <c r="D3" s="4" t="n">
        <f aca="false">SUM('Data 1'!F2:F144)</f>
        <v>24936</v>
      </c>
      <c r="E3" s="4" t="n">
        <f aca="false">IF(COUNT('Data 1'!F2:F144)=0,0,AVERAGE('Data 1'!F2:F144))</f>
        <v>174.377622377622</v>
      </c>
      <c r="F3" s="0" t="n">
        <f aca="false">COUNT('Data 1'!F2:F144)</f>
        <v>143</v>
      </c>
      <c r="G3" s="3" t="s">
        <v>31</v>
      </c>
      <c r="H3" s="3" t="s">
        <v>32</v>
      </c>
    </row>
    <row r="4" customFormat="false" ht="45" hidden="false" customHeight="true" outlineLevel="0" collapsed="false">
      <c r="A4" s="3" t="s">
        <v>28</v>
      </c>
      <c r="B4" s="3" t="s">
        <v>34</v>
      </c>
      <c r="C4" s="3" t="s">
        <v>35</v>
      </c>
      <c r="D4" s="4" t="n">
        <f aca="false">SUM('Data 1'!G2:G144)</f>
        <v>22861</v>
      </c>
      <c r="E4" s="4" t="n">
        <f aca="false">IF(COUNT('Data 1'!G2:G144)=0,0,AVERAGE('Data 1'!G2:G144))</f>
        <v>159.867132867133</v>
      </c>
      <c r="F4" s="0" t="n">
        <f aca="false">COUNT('Data 1'!G2:G144)</f>
        <v>143</v>
      </c>
      <c r="G4" s="3" t="s">
        <v>31</v>
      </c>
      <c r="H4" s="3" t="s">
        <v>32</v>
      </c>
    </row>
    <row r="5" customFormat="false" ht="45" hidden="false" customHeight="true" outlineLevel="0" collapsed="false">
      <c r="A5" s="3" t="s">
        <v>28</v>
      </c>
      <c r="B5" s="3" t="s">
        <v>36</v>
      </c>
      <c r="C5" s="3" t="s">
        <v>35</v>
      </c>
      <c r="D5" s="4" t="n">
        <f aca="false">SUM('Data 1'!H2:H144)</f>
        <v>2075</v>
      </c>
      <c r="E5" s="4" t="n">
        <f aca="false">IF(COUNT('Data 1'!H2:H144)=0,0,AVERAGE('Data 1'!H2:H144))</f>
        <v>14.5104895104895</v>
      </c>
      <c r="F5" s="0" t="n">
        <f aca="false">COUNT('Data 1'!H2:H144)</f>
        <v>143</v>
      </c>
      <c r="G5" s="3" t="s">
        <v>31</v>
      </c>
      <c r="H5" s="3" t="s">
        <v>32</v>
      </c>
    </row>
    <row r="6" customFormat="false" ht="45" hidden="false" customHeight="true" outlineLevel="0" collapsed="false">
      <c r="A6" s="3" t="s">
        <v>28</v>
      </c>
      <c r="B6" s="3" t="s">
        <v>37</v>
      </c>
      <c r="C6" s="3" t="s">
        <v>38</v>
      </c>
      <c r="D6" s="4" t="n">
        <f aca="false">SUM('Data 1'!I2:I144)</f>
        <v>755.9</v>
      </c>
      <c r="E6" s="4" t="n">
        <f aca="false">IF(COUNT('Data 1'!I2:I144)=0,0,AVERAGE('Data 1'!I2:I144))</f>
        <v>5.28601398601399</v>
      </c>
      <c r="F6" s="0" t="n">
        <f aca="false">COUNT('Data 1'!I2:I144)</f>
        <v>143</v>
      </c>
      <c r="G6" s="3" t="s">
        <v>31</v>
      </c>
      <c r="H6" s="3" t="s">
        <v>32</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20</v>
      </c>
      <c r="B1" s="1" t="s">
        <v>39</v>
      </c>
      <c r="C1" s="1" t="s">
        <v>40</v>
      </c>
      <c r="D1" s="1" t="s">
        <v>22</v>
      </c>
      <c r="E1" s="1" t="s">
        <v>41</v>
      </c>
      <c r="F1" s="1" t="s">
        <v>42</v>
      </c>
    </row>
    <row r="2" customFormat="false" ht="31.5" hidden="false" customHeight="true" outlineLevel="0" collapsed="false">
      <c r="A2" s="3" t="s">
        <v>28</v>
      </c>
      <c r="B2" s="3" t="s">
        <v>43</v>
      </c>
      <c r="C2" s="3" t="s">
        <v>44</v>
      </c>
      <c r="D2" s="3"/>
      <c r="E2" s="3" t="s">
        <v>45</v>
      </c>
      <c r="F2" s="3"/>
    </row>
    <row r="3" customFormat="false" ht="31.5" hidden="false" customHeight="true" outlineLevel="0" collapsed="false">
      <c r="A3" s="3" t="s">
        <v>28</v>
      </c>
      <c r="B3" s="3" t="s">
        <v>46</v>
      </c>
      <c r="C3" s="3" t="s">
        <v>47</v>
      </c>
      <c r="D3" s="3"/>
      <c r="E3" s="3" t="s">
        <v>48</v>
      </c>
      <c r="F3" s="3"/>
    </row>
    <row r="4" customFormat="false" ht="31.5" hidden="false" customHeight="true" outlineLevel="0" collapsed="false">
      <c r="A4" s="3" t="s">
        <v>28</v>
      </c>
      <c r="B4" s="3" t="s">
        <v>49</v>
      </c>
      <c r="C4" s="3" t="s">
        <v>50</v>
      </c>
      <c r="D4" s="3"/>
      <c r="E4" s="3" t="s">
        <v>48</v>
      </c>
      <c r="F4" s="3"/>
    </row>
    <row r="5" customFormat="false" ht="31.5" hidden="false" customHeight="true" outlineLevel="0" collapsed="false">
      <c r="A5" s="3" t="s">
        <v>28</v>
      </c>
      <c r="B5" s="3" t="s">
        <v>51</v>
      </c>
      <c r="C5" s="3" t="s">
        <v>52</v>
      </c>
      <c r="D5" s="3"/>
      <c r="E5" s="3" t="s">
        <v>53</v>
      </c>
      <c r="F5" s="3"/>
    </row>
    <row r="6" customFormat="false" ht="31.5" hidden="false" customHeight="true" outlineLevel="0" collapsed="false">
      <c r="A6" s="3" t="s">
        <v>28</v>
      </c>
      <c r="B6" s="3" t="s">
        <v>29</v>
      </c>
      <c r="C6" s="3" t="s">
        <v>54</v>
      </c>
      <c r="D6" s="3" t="s">
        <v>30</v>
      </c>
      <c r="E6" s="3" t="s">
        <v>55</v>
      </c>
      <c r="F6" s="3"/>
    </row>
    <row r="7" customFormat="false" ht="31.5" hidden="false" customHeight="true" outlineLevel="0" collapsed="false">
      <c r="A7" s="3" t="s">
        <v>28</v>
      </c>
      <c r="B7" s="3" t="s">
        <v>33</v>
      </c>
      <c r="C7" s="3" t="s">
        <v>56</v>
      </c>
      <c r="D7" s="3" t="s">
        <v>30</v>
      </c>
      <c r="E7" s="3" t="s">
        <v>55</v>
      </c>
      <c r="F7" s="3"/>
    </row>
    <row r="8" customFormat="false" ht="31.5" hidden="false" customHeight="true" outlineLevel="0" collapsed="false">
      <c r="A8" s="3" t="s">
        <v>28</v>
      </c>
      <c r="B8" s="3" t="s">
        <v>34</v>
      </c>
      <c r="C8" s="3" t="s">
        <v>57</v>
      </c>
      <c r="D8" s="3" t="s">
        <v>35</v>
      </c>
      <c r="E8" s="3" t="s">
        <v>55</v>
      </c>
      <c r="F8" s="3"/>
    </row>
    <row r="9" customFormat="false" ht="45" hidden="false" customHeight="true" outlineLevel="0" collapsed="false">
      <c r="A9" s="3" t="s">
        <v>28</v>
      </c>
      <c r="B9" s="3" t="s">
        <v>36</v>
      </c>
      <c r="C9" s="3" t="s">
        <v>58</v>
      </c>
      <c r="D9" s="3" t="s">
        <v>35</v>
      </c>
      <c r="E9" s="3" t="s">
        <v>55</v>
      </c>
      <c r="F9" s="3"/>
    </row>
    <row r="10" customFormat="false" ht="45" hidden="false" customHeight="true" outlineLevel="0" collapsed="false">
      <c r="A10" s="3" t="s">
        <v>28</v>
      </c>
      <c r="B10" s="3" t="s">
        <v>37</v>
      </c>
      <c r="C10" s="3" t="s">
        <v>59</v>
      </c>
      <c r="D10" s="3" t="s">
        <v>38</v>
      </c>
      <c r="E10" s="3" t="s">
        <v>60</v>
      </c>
      <c r="F10"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9" min="1" style="0" width="25"/>
  </cols>
  <sheetData>
    <row r="1" customFormat="false" ht="26.85" hidden="false" customHeight="false" outlineLevel="0" collapsed="false">
      <c r="A1" s="1" t="s">
        <v>43</v>
      </c>
      <c r="B1" s="1" t="s">
        <v>46</v>
      </c>
      <c r="C1" s="1" t="s">
        <v>49</v>
      </c>
      <c r="D1" s="1" t="s">
        <v>51</v>
      </c>
      <c r="E1" s="1" t="s">
        <v>29</v>
      </c>
      <c r="F1" s="1" t="s">
        <v>33</v>
      </c>
      <c r="G1" s="1" t="s">
        <v>34</v>
      </c>
      <c r="H1" s="1" t="s">
        <v>36</v>
      </c>
      <c r="I1" s="1" t="s">
        <v>37</v>
      </c>
    </row>
    <row r="2" customFormat="false" ht="15" hidden="false" customHeight="false" outlineLevel="0" collapsed="false">
      <c r="A2" s="3" t="s">
        <v>61</v>
      </c>
      <c r="B2" s="3" t="s">
        <v>62</v>
      </c>
      <c r="C2" s="3" t="s">
        <v>63</v>
      </c>
      <c r="D2" s="3" t="s">
        <v>31</v>
      </c>
      <c r="E2" s="0" t="n">
        <v>137</v>
      </c>
      <c r="F2" s="0" t="n">
        <v>132</v>
      </c>
      <c r="G2" s="0" t="n">
        <v>121</v>
      </c>
      <c r="H2" s="0" t="n">
        <v>11</v>
      </c>
      <c r="I2" s="0" t="n">
        <v>9</v>
      </c>
    </row>
    <row r="3" customFormat="false" ht="15" hidden="false" customHeight="false" outlineLevel="0" collapsed="false">
      <c r="A3" s="3" t="s">
        <v>64</v>
      </c>
      <c r="B3" s="3" t="s">
        <v>62</v>
      </c>
      <c r="C3" s="3" t="s">
        <v>63</v>
      </c>
      <c r="D3" s="3" t="s">
        <v>65</v>
      </c>
      <c r="E3" s="0" t="n">
        <v>136</v>
      </c>
      <c r="F3" s="0" t="n">
        <v>133</v>
      </c>
      <c r="G3" s="0" t="n">
        <v>124</v>
      </c>
      <c r="H3" s="0" t="n">
        <v>9</v>
      </c>
      <c r="I3" s="0" t="n">
        <v>6.3</v>
      </c>
    </row>
    <row r="4" customFormat="false" ht="15" hidden="false" customHeight="false" outlineLevel="0" collapsed="false">
      <c r="A4" s="3" t="s">
        <v>66</v>
      </c>
      <c r="B4" s="3" t="s">
        <v>62</v>
      </c>
      <c r="C4" s="3" t="s">
        <v>63</v>
      </c>
      <c r="D4" s="3" t="s">
        <v>67</v>
      </c>
      <c r="E4" s="0" t="n">
        <v>138</v>
      </c>
      <c r="F4" s="0" t="n">
        <v>133</v>
      </c>
      <c r="G4" s="0" t="n">
        <v>124</v>
      </c>
      <c r="H4" s="0" t="n">
        <v>9</v>
      </c>
      <c r="I4" s="0" t="n">
        <v>6.9</v>
      </c>
    </row>
    <row r="5" customFormat="false" ht="15" hidden="false" customHeight="false" outlineLevel="0" collapsed="false">
      <c r="A5" s="3" t="s">
        <v>68</v>
      </c>
      <c r="B5" s="3" t="s">
        <v>62</v>
      </c>
      <c r="C5" s="3" t="s">
        <v>63</v>
      </c>
      <c r="D5" s="3" t="s">
        <v>69</v>
      </c>
      <c r="E5" s="0" t="n">
        <v>140</v>
      </c>
      <c r="F5" s="0" t="n">
        <v>135</v>
      </c>
      <c r="G5" s="0" t="n">
        <v>125</v>
      </c>
      <c r="H5" s="0" t="n">
        <v>10</v>
      </c>
      <c r="I5" s="0" t="n">
        <v>7.7</v>
      </c>
    </row>
    <row r="6" customFormat="false" ht="15" hidden="false" customHeight="false" outlineLevel="0" collapsed="false">
      <c r="A6" s="3" t="s">
        <v>70</v>
      </c>
      <c r="B6" s="3" t="s">
        <v>62</v>
      </c>
      <c r="C6" s="3" t="s">
        <v>63</v>
      </c>
      <c r="D6" s="3" t="s">
        <v>71</v>
      </c>
      <c r="E6" s="0" t="n">
        <v>115</v>
      </c>
      <c r="F6" s="0" t="n">
        <v>111</v>
      </c>
      <c r="G6" s="0" t="n">
        <v>104</v>
      </c>
      <c r="H6" s="0" t="n">
        <v>7</v>
      </c>
      <c r="I6" s="0" t="n">
        <v>6.1</v>
      </c>
    </row>
    <row r="7" customFormat="false" ht="15" hidden="false" customHeight="false" outlineLevel="0" collapsed="false">
      <c r="A7" s="3" t="s">
        <v>72</v>
      </c>
      <c r="B7" s="3" t="s">
        <v>62</v>
      </c>
      <c r="C7" s="3" t="s">
        <v>63</v>
      </c>
      <c r="D7" s="3" t="s">
        <v>73</v>
      </c>
      <c r="E7" s="0" t="n">
        <v>139</v>
      </c>
      <c r="F7" s="0" t="n">
        <v>135</v>
      </c>
      <c r="G7" s="0" t="n">
        <v>127</v>
      </c>
      <c r="H7" s="0" t="n">
        <v>8</v>
      </c>
      <c r="I7" s="0" t="n">
        <v>6.2</v>
      </c>
    </row>
    <row r="8" customFormat="false" ht="15" hidden="false" customHeight="false" outlineLevel="0" collapsed="false">
      <c r="A8" s="3" t="s">
        <v>74</v>
      </c>
      <c r="B8" s="3" t="s">
        <v>62</v>
      </c>
      <c r="C8" s="3" t="s">
        <v>63</v>
      </c>
      <c r="D8" s="3" t="s">
        <v>75</v>
      </c>
      <c r="E8" s="0" t="n">
        <v>143</v>
      </c>
      <c r="F8" s="0" t="n">
        <v>132</v>
      </c>
      <c r="G8" s="0" t="n">
        <v>122</v>
      </c>
      <c r="H8" s="0" t="n">
        <v>10</v>
      </c>
      <c r="I8" s="0" t="n">
        <v>7.4</v>
      </c>
    </row>
    <row r="9" customFormat="false" ht="15" hidden="false" customHeight="false" outlineLevel="0" collapsed="false">
      <c r="A9" s="3" t="s">
        <v>76</v>
      </c>
      <c r="B9" s="3" t="s">
        <v>62</v>
      </c>
      <c r="C9" s="3" t="s">
        <v>63</v>
      </c>
      <c r="D9" s="3" t="s">
        <v>77</v>
      </c>
      <c r="E9" s="0" t="n">
        <v>140</v>
      </c>
      <c r="F9" s="0" t="n">
        <v>136</v>
      </c>
      <c r="G9" s="0" t="n">
        <v>129</v>
      </c>
      <c r="H9" s="0" t="n">
        <v>7</v>
      </c>
      <c r="I9" s="0" t="n">
        <v>5.3</v>
      </c>
    </row>
    <row r="10" customFormat="false" ht="15" hidden="false" customHeight="false" outlineLevel="0" collapsed="false">
      <c r="A10" s="3" t="s">
        <v>78</v>
      </c>
      <c r="B10" s="3" t="s">
        <v>62</v>
      </c>
      <c r="C10" s="3" t="s">
        <v>63</v>
      </c>
      <c r="D10" s="3" t="s">
        <v>79</v>
      </c>
      <c r="E10" s="0" t="n">
        <v>142</v>
      </c>
      <c r="F10" s="0" t="n">
        <v>132</v>
      </c>
      <c r="G10" s="0" t="n">
        <v>121</v>
      </c>
      <c r="H10" s="0" t="n">
        <v>11</v>
      </c>
      <c r="I10" s="0" t="n">
        <v>6.8</v>
      </c>
    </row>
    <row r="11" customFormat="false" ht="15" hidden="false" customHeight="false" outlineLevel="0" collapsed="false">
      <c r="A11" s="3" t="s">
        <v>80</v>
      </c>
      <c r="B11" s="3" t="s">
        <v>62</v>
      </c>
      <c r="C11" s="3" t="s">
        <v>63</v>
      </c>
      <c r="D11" s="3" t="s">
        <v>81</v>
      </c>
      <c r="E11" s="0" t="n">
        <v>142</v>
      </c>
      <c r="F11" s="0" t="n">
        <v>132</v>
      </c>
      <c r="G11" s="0" t="n">
        <v>121</v>
      </c>
      <c r="H11" s="0" t="n">
        <v>11</v>
      </c>
      <c r="I11" s="0" t="n">
        <v>5.4</v>
      </c>
    </row>
    <row r="12" customFormat="false" ht="15" hidden="false" customHeight="false" outlineLevel="0" collapsed="false">
      <c r="A12" s="3" t="s">
        <v>82</v>
      </c>
      <c r="B12" s="3" t="s">
        <v>62</v>
      </c>
      <c r="C12" s="3" t="s">
        <v>63</v>
      </c>
      <c r="D12" s="3" t="s">
        <v>83</v>
      </c>
      <c r="E12" s="0" t="n">
        <v>138</v>
      </c>
      <c r="F12" s="0" t="n">
        <v>127</v>
      </c>
      <c r="G12" s="0" t="n">
        <v>117</v>
      </c>
      <c r="H12" s="0" t="n">
        <v>10</v>
      </c>
      <c r="I12" s="0" t="n">
        <v>8.3</v>
      </c>
    </row>
    <row r="13" customFormat="false" ht="15" hidden="false" customHeight="false" outlineLevel="0" collapsed="false">
      <c r="A13" s="3" t="s">
        <v>84</v>
      </c>
      <c r="B13" s="3" t="s">
        <v>62</v>
      </c>
      <c r="C13" s="3" t="s">
        <v>63</v>
      </c>
      <c r="D13" s="3" t="s">
        <v>85</v>
      </c>
      <c r="E13" s="0" t="n">
        <v>143</v>
      </c>
      <c r="F13" s="0" t="n">
        <v>135</v>
      </c>
      <c r="G13" s="0" t="n">
        <v>126</v>
      </c>
      <c r="H13" s="0" t="n">
        <v>9</v>
      </c>
      <c r="I13" s="0" t="n">
        <v>6.3</v>
      </c>
    </row>
    <row r="14" customFormat="false" ht="15" hidden="false" customHeight="false" outlineLevel="0" collapsed="false">
      <c r="A14" s="3" t="s">
        <v>86</v>
      </c>
      <c r="B14" s="3" t="s">
        <v>62</v>
      </c>
      <c r="C14" s="3" t="s">
        <v>63</v>
      </c>
      <c r="D14" s="3" t="s">
        <v>87</v>
      </c>
      <c r="E14" s="0" t="n">
        <v>144</v>
      </c>
      <c r="F14" s="0" t="n">
        <v>133</v>
      </c>
      <c r="G14" s="0" t="n">
        <v>125</v>
      </c>
      <c r="H14" s="0" t="n">
        <v>8</v>
      </c>
      <c r="I14" s="0" t="n">
        <v>6.8</v>
      </c>
    </row>
    <row r="15" customFormat="false" ht="15" hidden="false" customHeight="false" outlineLevel="0" collapsed="false">
      <c r="A15" s="3" t="s">
        <v>88</v>
      </c>
      <c r="B15" s="3" t="s">
        <v>89</v>
      </c>
      <c r="C15" s="3" t="s">
        <v>63</v>
      </c>
      <c r="D15" s="3" t="s">
        <v>31</v>
      </c>
      <c r="E15" s="0" t="n">
        <v>175</v>
      </c>
      <c r="F15" s="0" t="n">
        <v>157</v>
      </c>
      <c r="G15" s="0" t="n">
        <v>148</v>
      </c>
      <c r="H15" s="0" t="n">
        <v>9</v>
      </c>
      <c r="I15" s="0" t="n">
        <v>2.3</v>
      </c>
    </row>
    <row r="16" customFormat="false" ht="15" hidden="false" customHeight="false" outlineLevel="0" collapsed="false">
      <c r="A16" s="3" t="s">
        <v>90</v>
      </c>
      <c r="B16" s="3" t="s">
        <v>89</v>
      </c>
      <c r="C16" s="3" t="s">
        <v>63</v>
      </c>
      <c r="D16" s="3" t="s">
        <v>65</v>
      </c>
      <c r="E16" s="0" t="n">
        <v>170</v>
      </c>
      <c r="F16" s="0" t="n">
        <v>151</v>
      </c>
      <c r="G16" s="0" t="n">
        <v>143</v>
      </c>
      <c r="H16" s="0" t="n">
        <v>8</v>
      </c>
      <c r="I16" s="0" t="n">
        <v>2.5</v>
      </c>
    </row>
    <row r="17" customFormat="false" ht="15" hidden="false" customHeight="false" outlineLevel="0" collapsed="false">
      <c r="A17" s="3" t="s">
        <v>91</v>
      </c>
      <c r="B17" s="3" t="s">
        <v>89</v>
      </c>
      <c r="C17" s="3" t="s">
        <v>63</v>
      </c>
      <c r="D17" s="3" t="s">
        <v>67</v>
      </c>
      <c r="E17" s="0" t="n">
        <v>173</v>
      </c>
      <c r="F17" s="0" t="n">
        <v>152</v>
      </c>
      <c r="G17" s="0" t="n">
        <v>145</v>
      </c>
      <c r="H17" s="0" t="n">
        <v>7</v>
      </c>
      <c r="I17" s="0" t="n">
        <v>1.9</v>
      </c>
    </row>
    <row r="18" customFormat="false" ht="15" hidden="false" customHeight="false" outlineLevel="0" collapsed="false">
      <c r="A18" s="3" t="s">
        <v>92</v>
      </c>
      <c r="B18" s="3" t="s">
        <v>89</v>
      </c>
      <c r="C18" s="3" t="s">
        <v>63</v>
      </c>
      <c r="D18" s="3" t="s">
        <v>69</v>
      </c>
      <c r="E18" s="0" t="n">
        <v>180</v>
      </c>
      <c r="F18" s="0" t="n">
        <v>162</v>
      </c>
      <c r="G18" s="0" t="n">
        <v>152</v>
      </c>
      <c r="H18" s="0" t="n">
        <v>10</v>
      </c>
      <c r="I18" s="0" t="n">
        <v>1.9</v>
      </c>
    </row>
    <row r="19" customFormat="false" ht="15" hidden="false" customHeight="false" outlineLevel="0" collapsed="false">
      <c r="A19" s="3" t="s">
        <v>93</v>
      </c>
      <c r="B19" s="3" t="s">
        <v>89</v>
      </c>
      <c r="C19" s="3" t="s">
        <v>63</v>
      </c>
      <c r="D19" s="3" t="s">
        <v>71</v>
      </c>
      <c r="E19" s="0" t="n">
        <v>147</v>
      </c>
      <c r="F19" s="0" t="n">
        <v>132</v>
      </c>
      <c r="G19" s="0" t="n">
        <v>126</v>
      </c>
      <c r="H19" s="0" t="n">
        <v>6</v>
      </c>
      <c r="I19" s="0" t="n">
        <v>1.7</v>
      </c>
    </row>
    <row r="20" customFormat="false" ht="15" hidden="false" customHeight="false" outlineLevel="0" collapsed="false">
      <c r="A20" s="3" t="s">
        <v>94</v>
      </c>
      <c r="B20" s="3" t="s">
        <v>89</v>
      </c>
      <c r="C20" s="3" t="s">
        <v>63</v>
      </c>
      <c r="D20" s="3" t="s">
        <v>73</v>
      </c>
      <c r="E20" s="0" t="n">
        <v>175</v>
      </c>
      <c r="F20" s="0" t="n">
        <v>158</v>
      </c>
      <c r="G20" s="0" t="n">
        <v>146</v>
      </c>
      <c r="H20" s="0" t="n">
        <v>12</v>
      </c>
      <c r="I20" s="0" t="n">
        <v>2.4</v>
      </c>
    </row>
    <row r="21" customFormat="false" ht="15" hidden="false" customHeight="false" outlineLevel="0" collapsed="false">
      <c r="A21" s="3" t="s">
        <v>95</v>
      </c>
      <c r="B21" s="3" t="s">
        <v>89</v>
      </c>
      <c r="C21" s="3" t="s">
        <v>63</v>
      </c>
      <c r="D21" s="3" t="s">
        <v>75</v>
      </c>
      <c r="E21" s="0" t="n">
        <v>180</v>
      </c>
      <c r="F21" s="0" t="n">
        <v>155</v>
      </c>
      <c r="G21" s="0" t="n">
        <v>146</v>
      </c>
      <c r="H21" s="0" t="n">
        <v>9</v>
      </c>
      <c r="I21" s="0" t="n">
        <v>1.8</v>
      </c>
    </row>
    <row r="22" customFormat="false" ht="15" hidden="false" customHeight="false" outlineLevel="0" collapsed="false">
      <c r="A22" s="3" t="s">
        <v>96</v>
      </c>
      <c r="B22" s="3" t="s">
        <v>89</v>
      </c>
      <c r="C22" s="3" t="s">
        <v>63</v>
      </c>
      <c r="D22" s="3" t="s">
        <v>77</v>
      </c>
      <c r="E22" s="0" t="n">
        <v>176</v>
      </c>
      <c r="F22" s="0" t="n">
        <v>155</v>
      </c>
      <c r="G22" s="0" t="n">
        <v>144</v>
      </c>
      <c r="H22" s="0" t="n">
        <v>11</v>
      </c>
      <c r="I22" s="0" t="n">
        <v>2.2</v>
      </c>
    </row>
    <row r="23" customFormat="false" ht="15" hidden="false" customHeight="false" outlineLevel="0" collapsed="false">
      <c r="A23" s="3" t="s">
        <v>97</v>
      </c>
      <c r="B23" s="3" t="s">
        <v>89</v>
      </c>
      <c r="C23" s="3" t="s">
        <v>63</v>
      </c>
      <c r="D23" s="3" t="s">
        <v>79</v>
      </c>
      <c r="E23" s="0" t="n">
        <v>176</v>
      </c>
      <c r="F23" s="0" t="n">
        <v>159</v>
      </c>
      <c r="G23" s="0" t="n">
        <v>152</v>
      </c>
      <c r="H23" s="0" t="n">
        <v>7</v>
      </c>
      <c r="I23" s="0" t="n">
        <v>1.6</v>
      </c>
    </row>
    <row r="24" customFormat="false" ht="15" hidden="false" customHeight="false" outlineLevel="0" collapsed="false">
      <c r="A24" s="3" t="s">
        <v>98</v>
      </c>
      <c r="B24" s="3" t="s">
        <v>89</v>
      </c>
      <c r="C24" s="3" t="s">
        <v>63</v>
      </c>
      <c r="D24" s="3" t="s">
        <v>81</v>
      </c>
      <c r="E24" s="0" t="n">
        <v>171</v>
      </c>
      <c r="F24" s="0" t="n">
        <v>147</v>
      </c>
      <c r="G24" s="0" t="n">
        <v>140</v>
      </c>
      <c r="H24" s="0" t="n">
        <v>7</v>
      </c>
      <c r="I24" s="0" t="n">
        <v>2.4</v>
      </c>
    </row>
    <row r="25" customFormat="false" ht="15" hidden="false" customHeight="false" outlineLevel="0" collapsed="false">
      <c r="A25" s="3" t="s">
        <v>99</v>
      </c>
      <c r="B25" s="3" t="s">
        <v>89</v>
      </c>
      <c r="C25" s="3" t="s">
        <v>63</v>
      </c>
      <c r="D25" s="3" t="s">
        <v>83</v>
      </c>
      <c r="E25" s="0" t="n">
        <v>173</v>
      </c>
      <c r="F25" s="0" t="n">
        <v>151</v>
      </c>
      <c r="G25" s="0" t="n">
        <v>143</v>
      </c>
      <c r="H25" s="0" t="n">
        <v>8</v>
      </c>
      <c r="I25" s="0" t="n">
        <v>2.3</v>
      </c>
    </row>
    <row r="26" customFormat="false" ht="15" hidden="false" customHeight="false" outlineLevel="0" collapsed="false">
      <c r="A26" s="3" t="s">
        <v>100</v>
      </c>
      <c r="B26" s="3" t="s">
        <v>89</v>
      </c>
      <c r="C26" s="3" t="s">
        <v>63</v>
      </c>
      <c r="D26" s="3" t="s">
        <v>85</v>
      </c>
      <c r="E26" s="0" t="n">
        <v>172</v>
      </c>
      <c r="F26" s="0" t="n">
        <v>149</v>
      </c>
      <c r="G26" s="0" t="n">
        <v>137</v>
      </c>
      <c r="H26" s="0" t="n">
        <v>12</v>
      </c>
      <c r="I26" s="0" t="n">
        <v>1.6</v>
      </c>
    </row>
    <row r="27" customFormat="false" ht="15" hidden="false" customHeight="false" outlineLevel="0" collapsed="false">
      <c r="A27" s="3" t="s">
        <v>101</v>
      </c>
      <c r="B27" s="3" t="s">
        <v>89</v>
      </c>
      <c r="C27" s="3" t="s">
        <v>63</v>
      </c>
      <c r="D27" s="3" t="s">
        <v>87</v>
      </c>
      <c r="E27" s="0" t="n">
        <v>178</v>
      </c>
      <c r="F27" s="0" t="n">
        <v>155</v>
      </c>
      <c r="G27" s="0" t="n">
        <v>147</v>
      </c>
      <c r="H27" s="0" t="n">
        <v>8</v>
      </c>
      <c r="I27" s="0" t="n">
        <v>2</v>
      </c>
    </row>
    <row r="28" customFormat="false" ht="15" hidden="false" customHeight="false" outlineLevel="0" collapsed="false">
      <c r="A28" s="3" t="s">
        <v>102</v>
      </c>
      <c r="B28" s="3" t="s">
        <v>103</v>
      </c>
      <c r="C28" s="3" t="s">
        <v>63</v>
      </c>
      <c r="D28" s="3" t="s">
        <v>31</v>
      </c>
      <c r="E28" s="0" t="n">
        <v>192</v>
      </c>
      <c r="F28" s="0" t="n">
        <v>173</v>
      </c>
      <c r="G28" s="0" t="n">
        <v>161</v>
      </c>
      <c r="H28" s="0" t="n">
        <v>12</v>
      </c>
      <c r="I28" s="0" t="n">
        <v>3.6</v>
      </c>
    </row>
    <row r="29" customFormat="false" ht="15" hidden="false" customHeight="false" outlineLevel="0" collapsed="false">
      <c r="A29" s="3" t="s">
        <v>104</v>
      </c>
      <c r="B29" s="3" t="s">
        <v>103</v>
      </c>
      <c r="C29" s="3" t="s">
        <v>63</v>
      </c>
      <c r="D29" s="3" t="s">
        <v>65</v>
      </c>
      <c r="E29" s="0" t="n">
        <v>192</v>
      </c>
      <c r="F29" s="0" t="n">
        <v>171</v>
      </c>
      <c r="G29" s="0" t="n">
        <v>156</v>
      </c>
      <c r="H29" s="0" t="n">
        <v>15</v>
      </c>
      <c r="I29" s="0" t="n">
        <v>3.6</v>
      </c>
    </row>
    <row r="30" customFormat="false" ht="15" hidden="false" customHeight="false" outlineLevel="0" collapsed="false">
      <c r="A30" s="3" t="s">
        <v>105</v>
      </c>
      <c r="B30" s="3" t="s">
        <v>103</v>
      </c>
      <c r="C30" s="3" t="s">
        <v>63</v>
      </c>
      <c r="D30" s="3" t="s">
        <v>67</v>
      </c>
      <c r="E30" s="0" t="n">
        <v>185</v>
      </c>
      <c r="F30" s="0" t="n">
        <v>169</v>
      </c>
      <c r="G30" s="0" t="n">
        <v>159</v>
      </c>
      <c r="H30" s="0" t="n">
        <v>10</v>
      </c>
      <c r="I30" s="0" t="n">
        <v>3.3</v>
      </c>
    </row>
    <row r="31" customFormat="false" ht="15" hidden="false" customHeight="false" outlineLevel="0" collapsed="false">
      <c r="A31" s="3" t="s">
        <v>106</v>
      </c>
      <c r="B31" s="3" t="s">
        <v>103</v>
      </c>
      <c r="C31" s="3" t="s">
        <v>63</v>
      </c>
      <c r="D31" s="3" t="s">
        <v>69</v>
      </c>
      <c r="E31" s="0" t="n">
        <v>192</v>
      </c>
      <c r="F31" s="0" t="n">
        <v>171</v>
      </c>
      <c r="G31" s="0" t="n">
        <v>157</v>
      </c>
      <c r="H31" s="0" t="n">
        <v>14</v>
      </c>
      <c r="I31" s="0" t="n">
        <v>2.7</v>
      </c>
    </row>
    <row r="32" customFormat="false" ht="15" hidden="false" customHeight="false" outlineLevel="0" collapsed="false">
      <c r="A32" s="3" t="s">
        <v>107</v>
      </c>
      <c r="B32" s="3" t="s">
        <v>103</v>
      </c>
      <c r="C32" s="3" t="s">
        <v>63</v>
      </c>
      <c r="D32" s="3" t="s">
        <v>71</v>
      </c>
      <c r="E32" s="0" t="n">
        <v>154</v>
      </c>
      <c r="F32" s="0" t="n">
        <v>138</v>
      </c>
      <c r="G32" s="0" t="n">
        <v>126</v>
      </c>
      <c r="H32" s="0" t="n">
        <v>12</v>
      </c>
      <c r="I32" s="0" t="n">
        <v>3.4</v>
      </c>
    </row>
    <row r="33" customFormat="false" ht="15" hidden="false" customHeight="false" outlineLevel="0" collapsed="false">
      <c r="A33" s="3" t="s">
        <v>108</v>
      </c>
      <c r="B33" s="3" t="s">
        <v>103</v>
      </c>
      <c r="C33" s="3" t="s">
        <v>63</v>
      </c>
      <c r="D33" s="3" t="s">
        <v>73</v>
      </c>
      <c r="E33" s="0" t="n">
        <v>192</v>
      </c>
      <c r="F33" s="0" t="n">
        <v>170</v>
      </c>
      <c r="G33" s="0" t="n">
        <v>158</v>
      </c>
      <c r="H33" s="0" t="n">
        <v>12</v>
      </c>
      <c r="I33" s="0" t="n">
        <v>3.9</v>
      </c>
    </row>
    <row r="34" customFormat="false" ht="15" hidden="false" customHeight="false" outlineLevel="0" collapsed="false">
      <c r="A34" s="3" t="s">
        <v>109</v>
      </c>
      <c r="B34" s="3" t="s">
        <v>103</v>
      </c>
      <c r="C34" s="3" t="s">
        <v>63</v>
      </c>
      <c r="D34" s="3" t="s">
        <v>75</v>
      </c>
      <c r="E34" s="0" t="n">
        <v>195</v>
      </c>
      <c r="F34" s="0" t="n">
        <v>180</v>
      </c>
      <c r="G34" s="0" t="n">
        <v>170</v>
      </c>
      <c r="H34" s="0" t="n">
        <v>10</v>
      </c>
      <c r="I34" s="0" t="n">
        <v>3.5</v>
      </c>
    </row>
    <row r="35" customFormat="false" ht="15" hidden="false" customHeight="false" outlineLevel="0" collapsed="false">
      <c r="A35" s="3" t="s">
        <v>110</v>
      </c>
      <c r="B35" s="3" t="s">
        <v>103</v>
      </c>
      <c r="C35" s="3" t="s">
        <v>63</v>
      </c>
      <c r="D35" s="3" t="s">
        <v>77</v>
      </c>
      <c r="E35" s="0" t="n">
        <v>190</v>
      </c>
      <c r="F35" s="0" t="n">
        <v>174</v>
      </c>
      <c r="G35" s="0" t="n">
        <v>159</v>
      </c>
      <c r="H35" s="0" t="n">
        <v>15</v>
      </c>
      <c r="I35" s="0" t="n">
        <v>2.5</v>
      </c>
    </row>
    <row r="36" customFormat="false" ht="15" hidden="false" customHeight="false" outlineLevel="0" collapsed="false">
      <c r="A36" s="3" t="s">
        <v>111</v>
      </c>
      <c r="B36" s="3" t="s">
        <v>103</v>
      </c>
      <c r="C36" s="3" t="s">
        <v>63</v>
      </c>
      <c r="D36" s="3" t="s">
        <v>79</v>
      </c>
      <c r="E36" s="0" t="n">
        <v>186</v>
      </c>
      <c r="F36" s="0" t="n">
        <v>167</v>
      </c>
      <c r="G36" s="0" t="n">
        <v>153</v>
      </c>
      <c r="H36" s="0" t="n">
        <v>14</v>
      </c>
      <c r="I36" s="0" t="n">
        <v>2.4</v>
      </c>
    </row>
    <row r="37" customFormat="false" ht="15" hidden="false" customHeight="false" outlineLevel="0" collapsed="false">
      <c r="A37" s="3" t="s">
        <v>112</v>
      </c>
      <c r="B37" s="3" t="s">
        <v>103</v>
      </c>
      <c r="C37" s="3" t="s">
        <v>63</v>
      </c>
      <c r="D37" s="3" t="s">
        <v>81</v>
      </c>
      <c r="E37" s="0" t="n">
        <v>189</v>
      </c>
      <c r="F37" s="0" t="n">
        <v>165</v>
      </c>
      <c r="G37" s="0" t="n">
        <v>152</v>
      </c>
      <c r="H37" s="0" t="n">
        <v>13</v>
      </c>
      <c r="I37" s="0" t="n">
        <v>3.6</v>
      </c>
    </row>
    <row r="38" customFormat="false" ht="15" hidden="false" customHeight="false" outlineLevel="0" collapsed="false">
      <c r="A38" s="3" t="s">
        <v>113</v>
      </c>
      <c r="B38" s="3" t="s">
        <v>103</v>
      </c>
      <c r="C38" s="3" t="s">
        <v>63</v>
      </c>
      <c r="D38" s="3" t="s">
        <v>83</v>
      </c>
      <c r="E38" s="0" t="n">
        <v>188</v>
      </c>
      <c r="F38" s="0" t="n">
        <v>172</v>
      </c>
      <c r="G38" s="0" t="n">
        <v>160</v>
      </c>
      <c r="H38" s="0" t="n">
        <v>12</v>
      </c>
      <c r="I38" s="0" t="n">
        <v>2.8</v>
      </c>
    </row>
    <row r="39" customFormat="false" ht="15" hidden="false" customHeight="false" outlineLevel="0" collapsed="false">
      <c r="A39" s="3" t="s">
        <v>114</v>
      </c>
      <c r="B39" s="3" t="s">
        <v>103</v>
      </c>
      <c r="C39" s="3" t="s">
        <v>63</v>
      </c>
      <c r="D39" s="3" t="s">
        <v>85</v>
      </c>
      <c r="E39" s="0" t="n">
        <v>187</v>
      </c>
      <c r="F39" s="0" t="n">
        <v>164</v>
      </c>
      <c r="G39" s="0" t="n">
        <v>153</v>
      </c>
      <c r="H39" s="0" t="n">
        <v>11</v>
      </c>
      <c r="I39" s="0" t="n">
        <v>3.4</v>
      </c>
    </row>
    <row r="40" customFormat="false" ht="15" hidden="false" customHeight="false" outlineLevel="0" collapsed="false">
      <c r="A40" s="3" t="s">
        <v>115</v>
      </c>
      <c r="B40" s="3" t="s">
        <v>103</v>
      </c>
      <c r="C40" s="3" t="s">
        <v>63</v>
      </c>
      <c r="D40" s="3" t="s">
        <v>87</v>
      </c>
      <c r="E40" s="0" t="n">
        <v>188</v>
      </c>
      <c r="F40" s="0" t="n">
        <v>173</v>
      </c>
      <c r="G40" s="0" t="n">
        <v>163</v>
      </c>
      <c r="H40" s="0" t="n">
        <v>10</v>
      </c>
      <c r="I40" s="0" t="n">
        <v>2.6</v>
      </c>
    </row>
    <row r="41" customFormat="false" ht="15" hidden="false" customHeight="false" outlineLevel="0" collapsed="false">
      <c r="A41" s="3" t="s">
        <v>116</v>
      </c>
      <c r="B41" s="3" t="s">
        <v>117</v>
      </c>
      <c r="C41" s="3" t="s">
        <v>63</v>
      </c>
      <c r="D41" s="3" t="s">
        <v>31</v>
      </c>
      <c r="E41" s="0" t="n">
        <v>210</v>
      </c>
      <c r="F41" s="0" t="n">
        <v>176</v>
      </c>
      <c r="G41" s="0" t="n">
        <v>164</v>
      </c>
      <c r="H41" s="0" t="n">
        <v>12</v>
      </c>
      <c r="I41" s="0" t="n">
        <v>4.9</v>
      </c>
    </row>
    <row r="42" customFormat="false" ht="15" hidden="false" customHeight="false" outlineLevel="0" collapsed="false">
      <c r="A42" s="3" t="s">
        <v>118</v>
      </c>
      <c r="B42" s="3" t="s">
        <v>117</v>
      </c>
      <c r="C42" s="3" t="s">
        <v>63</v>
      </c>
      <c r="D42" s="3" t="s">
        <v>65</v>
      </c>
      <c r="E42" s="0" t="n">
        <v>215</v>
      </c>
      <c r="F42" s="0" t="n">
        <v>183</v>
      </c>
      <c r="G42" s="0" t="n">
        <v>167</v>
      </c>
      <c r="H42" s="0" t="n">
        <v>16</v>
      </c>
      <c r="I42" s="0" t="n">
        <v>5.6</v>
      </c>
    </row>
    <row r="43" customFormat="false" ht="15" hidden="false" customHeight="false" outlineLevel="0" collapsed="false">
      <c r="A43" s="3" t="s">
        <v>119</v>
      </c>
      <c r="B43" s="3" t="s">
        <v>117</v>
      </c>
      <c r="C43" s="3" t="s">
        <v>63</v>
      </c>
      <c r="D43" s="3" t="s">
        <v>67</v>
      </c>
      <c r="E43" s="0" t="n">
        <v>212</v>
      </c>
      <c r="F43" s="0" t="n">
        <v>187</v>
      </c>
      <c r="G43" s="0" t="n">
        <v>172</v>
      </c>
      <c r="H43" s="0" t="n">
        <v>15</v>
      </c>
      <c r="I43" s="0" t="n">
        <v>5.1</v>
      </c>
    </row>
    <row r="44" customFormat="false" ht="15" hidden="false" customHeight="false" outlineLevel="0" collapsed="false">
      <c r="A44" s="3" t="s">
        <v>120</v>
      </c>
      <c r="B44" s="3" t="s">
        <v>117</v>
      </c>
      <c r="C44" s="3" t="s">
        <v>63</v>
      </c>
      <c r="D44" s="3" t="s">
        <v>69</v>
      </c>
      <c r="E44" s="0" t="n">
        <v>214</v>
      </c>
      <c r="F44" s="0" t="n">
        <v>189</v>
      </c>
      <c r="G44" s="0" t="n">
        <v>171</v>
      </c>
      <c r="H44" s="0" t="n">
        <v>18</v>
      </c>
      <c r="I44" s="0" t="n">
        <v>3.9</v>
      </c>
    </row>
    <row r="45" customFormat="false" ht="15" hidden="false" customHeight="false" outlineLevel="0" collapsed="false">
      <c r="A45" s="3" t="s">
        <v>121</v>
      </c>
      <c r="B45" s="3" t="s">
        <v>117</v>
      </c>
      <c r="C45" s="3" t="s">
        <v>63</v>
      </c>
      <c r="D45" s="3" t="s">
        <v>71</v>
      </c>
      <c r="E45" s="0" t="n">
        <v>175</v>
      </c>
      <c r="F45" s="0" t="n">
        <v>148</v>
      </c>
      <c r="G45" s="0" t="n">
        <v>138</v>
      </c>
      <c r="H45" s="0" t="n">
        <v>10</v>
      </c>
      <c r="I45" s="0" t="n">
        <v>6.1</v>
      </c>
    </row>
    <row r="46" customFormat="false" ht="15" hidden="false" customHeight="false" outlineLevel="0" collapsed="false">
      <c r="A46" s="3" t="s">
        <v>122</v>
      </c>
      <c r="B46" s="3" t="s">
        <v>117</v>
      </c>
      <c r="C46" s="3" t="s">
        <v>63</v>
      </c>
      <c r="D46" s="3" t="s">
        <v>73</v>
      </c>
      <c r="E46" s="0" t="n">
        <v>216</v>
      </c>
      <c r="F46" s="0" t="n">
        <v>190</v>
      </c>
      <c r="G46" s="0" t="n">
        <v>177</v>
      </c>
      <c r="H46" s="0" t="n">
        <v>13</v>
      </c>
      <c r="I46" s="0" t="n">
        <v>5.8</v>
      </c>
    </row>
    <row r="47" customFormat="false" ht="15" hidden="false" customHeight="false" outlineLevel="0" collapsed="false">
      <c r="A47" s="3" t="s">
        <v>123</v>
      </c>
      <c r="B47" s="3" t="s">
        <v>117</v>
      </c>
      <c r="C47" s="3" t="s">
        <v>63</v>
      </c>
      <c r="D47" s="3" t="s">
        <v>75</v>
      </c>
      <c r="E47" s="0" t="n">
        <v>205</v>
      </c>
      <c r="F47" s="0" t="n">
        <v>176</v>
      </c>
      <c r="G47" s="0" t="n">
        <v>163</v>
      </c>
      <c r="H47" s="0" t="n">
        <v>13</v>
      </c>
      <c r="I47" s="0" t="n">
        <v>4.5</v>
      </c>
    </row>
    <row r="48" customFormat="false" ht="15" hidden="false" customHeight="false" outlineLevel="0" collapsed="false">
      <c r="A48" s="3" t="s">
        <v>124</v>
      </c>
      <c r="B48" s="3" t="s">
        <v>117</v>
      </c>
      <c r="C48" s="3" t="s">
        <v>63</v>
      </c>
      <c r="D48" s="3" t="s">
        <v>77</v>
      </c>
      <c r="E48" s="0" t="n">
        <v>209</v>
      </c>
      <c r="F48" s="0" t="n">
        <v>178</v>
      </c>
      <c r="G48" s="0" t="n">
        <v>164</v>
      </c>
      <c r="H48" s="0" t="n">
        <v>14</v>
      </c>
      <c r="I48" s="0" t="n">
        <v>5.7</v>
      </c>
    </row>
    <row r="49" customFormat="false" ht="15" hidden="false" customHeight="false" outlineLevel="0" collapsed="false">
      <c r="A49" s="3" t="s">
        <v>125</v>
      </c>
      <c r="B49" s="3" t="s">
        <v>117</v>
      </c>
      <c r="C49" s="3" t="s">
        <v>63</v>
      </c>
      <c r="D49" s="3" t="s">
        <v>79</v>
      </c>
      <c r="E49" s="0" t="n">
        <v>213</v>
      </c>
      <c r="F49" s="0" t="n">
        <v>187</v>
      </c>
      <c r="G49" s="0" t="n">
        <v>173</v>
      </c>
      <c r="H49" s="0" t="n">
        <v>14</v>
      </c>
      <c r="I49" s="0" t="n">
        <v>4.4</v>
      </c>
    </row>
    <row r="50" customFormat="false" ht="15" hidden="false" customHeight="false" outlineLevel="0" collapsed="false">
      <c r="A50" s="3" t="s">
        <v>126</v>
      </c>
      <c r="B50" s="3" t="s">
        <v>117</v>
      </c>
      <c r="C50" s="3" t="s">
        <v>63</v>
      </c>
      <c r="D50" s="3" t="s">
        <v>81</v>
      </c>
      <c r="E50" s="0" t="n">
        <v>209</v>
      </c>
      <c r="F50" s="0" t="n">
        <v>184</v>
      </c>
      <c r="G50" s="0" t="n">
        <v>172</v>
      </c>
      <c r="H50" s="0" t="n">
        <v>12</v>
      </c>
      <c r="I50" s="0" t="n">
        <v>6.4</v>
      </c>
    </row>
    <row r="51" customFormat="false" ht="15" hidden="false" customHeight="false" outlineLevel="0" collapsed="false">
      <c r="A51" s="3" t="s">
        <v>127</v>
      </c>
      <c r="B51" s="3" t="s">
        <v>117</v>
      </c>
      <c r="C51" s="3" t="s">
        <v>63</v>
      </c>
      <c r="D51" s="3" t="s">
        <v>83</v>
      </c>
      <c r="E51" s="0" t="n">
        <v>215</v>
      </c>
      <c r="F51" s="0" t="n">
        <v>182</v>
      </c>
      <c r="G51" s="0" t="n">
        <v>167</v>
      </c>
      <c r="H51" s="0" t="n">
        <v>15</v>
      </c>
      <c r="I51" s="0" t="n">
        <v>3.3</v>
      </c>
    </row>
    <row r="52" customFormat="false" ht="15" hidden="false" customHeight="false" outlineLevel="0" collapsed="false">
      <c r="A52" s="3" t="s">
        <v>128</v>
      </c>
      <c r="B52" s="3" t="s">
        <v>117</v>
      </c>
      <c r="C52" s="3" t="s">
        <v>63</v>
      </c>
      <c r="D52" s="3" t="s">
        <v>85</v>
      </c>
      <c r="E52" s="0" t="n">
        <v>211</v>
      </c>
      <c r="F52" s="0" t="n">
        <v>180</v>
      </c>
      <c r="G52" s="0" t="n">
        <v>164</v>
      </c>
      <c r="H52" s="0" t="n">
        <v>16</v>
      </c>
      <c r="I52" s="0" t="n">
        <v>5.2</v>
      </c>
    </row>
    <row r="53" customFormat="false" ht="15" hidden="false" customHeight="false" outlineLevel="0" collapsed="false">
      <c r="A53" s="3" t="s">
        <v>129</v>
      </c>
      <c r="B53" s="3" t="s">
        <v>117</v>
      </c>
      <c r="C53" s="3" t="s">
        <v>63</v>
      </c>
      <c r="D53" s="3" t="s">
        <v>87</v>
      </c>
      <c r="E53" s="0" t="n">
        <v>212</v>
      </c>
      <c r="F53" s="0" t="n">
        <v>177</v>
      </c>
      <c r="G53" s="0" t="n">
        <v>164</v>
      </c>
      <c r="H53" s="0" t="n">
        <v>13</v>
      </c>
      <c r="I53" s="0" t="n">
        <v>6</v>
      </c>
    </row>
    <row r="54" customFormat="false" ht="15" hidden="false" customHeight="false" outlineLevel="0" collapsed="false">
      <c r="A54" s="3" t="s">
        <v>130</v>
      </c>
      <c r="B54" s="3" t="s">
        <v>131</v>
      </c>
      <c r="C54" s="3" t="s">
        <v>63</v>
      </c>
      <c r="D54" s="3" t="s">
        <v>31</v>
      </c>
      <c r="E54" s="0" t="n">
        <v>262</v>
      </c>
      <c r="F54" s="0" t="n">
        <v>235</v>
      </c>
      <c r="G54" s="0" t="n">
        <v>225</v>
      </c>
      <c r="H54" s="0" t="n">
        <v>10</v>
      </c>
      <c r="I54" s="0" t="n">
        <v>3.7</v>
      </c>
    </row>
    <row r="55" customFormat="false" ht="15" hidden="false" customHeight="false" outlineLevel="0" collapsed="false">
      <c r="A55" s="3" t="s">
        <v>132</v>
      </c>
      <c r="B55" s="3" t="s">
        <v>131</v>
      </c>
      <c r="C55" s="3" t="s">
        <v>63</v>
      </c>
      <c r="D55" s="3" t="s">
        <v>65</v>
      </c>
      <c r="E55" s="0" t="n">
        <v>254</v>
      </c>
      <c r="F55" s="0" t="n">
        <v>232</v>
      </c>
      <c r="G55" s="0" t="n">
        <v>219</v>
      </c>
      <c r="H55" s="0" t="n">
        <v>13</v>
      </c>
      <c r="I55" s="0" t="n">
        <v>3.6</v>
      </c>
    </row>
    <row r="56" customFormat="false" ht="15" hidden="false" customHeight="false" outlineLevel="0" collapsed="false">
      <c r="A56" s="3" t="s">
        <v>133</v>
      </c>
      <c r="B56" s="3" t="s">
        <v>131</v>
      </c>
      <c r="C56" s="3" t="s">
        <v>63</v>
      </c>
      <c r="D56" s="3" t="s">
        <v>67</v>
      </c>
      <c r="E56" s="0" t="n">
        <v>253</v>
      </c>
      <c r="F56" s="0" t="n">
        <v>226</v>
      </c>
      <c r="G56" s="0" t="n">
        <v>217</v>
      </c>
      <c r="H56" s="0" t="n">
        <v>9</v>
      </c>
      <c r="I56" s="0" t="n">
        <v>3.9</v>
      </c>
    </row>
    <row r="57" customFormat="false" ht="15" hidden="false" customHeight="false" outlineLevel="0" collapsed="false">
      <c r="A57" s="3" t="s">
        <v>134</v>
      </c>
      <c r="B57" s="3" t="s">
        <v>131</v>
      </c>
      <c r="C57" s="3" t="s">
        <v>63</v>
      </c>
      <c r="D57" s="3" t="s">
        <v>69</v>
      </c>
      <c r="E57" s="0" t="n">
        <v>253</v>
      </c>
      <c r="F57" s="0" t="n">
        <v>224</v>
      </c>
      <c r="G57" s="0" t="n">
        <v>219</v>
      </c>
      <c r="H57" s="0" t="n">
        <v>5</v>
      </c>
      <c r="I57" s="0" t="n">
        <v>4.7</v>
      </c>
    </row>
    <row r="58" customFormat="false" ht="15" hidden="false" customHeight="false" outlineLevel="0" collapsed="false">
      <c r="A58" s="3" t="s">
        <v>135</v>
      </c>
      <c r="B58" s="3" t="s">
        <v>131</v>
      </c>
      <c r="C58" s="3" t="s">
        <v>63</v>
      </c>
      <c r="D58" s="3" t="s">
        <v>71</v>
      </c>
      <c r="E58" s="0" t="n">
        <v>212</v>
      </c>
      <c r="F58" s="0" t="n">
        <v>198</v>
      </c>
      <c r="G58" s="0" t="n">
        <v>190</v>
      </c>
      <c r="H58" s="0" t="n">
        <v>8</v>
      </c>
      <c r="I58" s="0" t="n">
        <v>4.2</v>
      </c>
    </row>
    <row r="59" customFormat="false" ht="15" hidden="false" customHeight="false" outlineLevel="0" collapsed="false">
      <c r="A59" s="3" t="s">
        <v>136</v>
      </c>
      <c r="B59" s="3" t="s">
        <v>131</v>
      </c>
      <c r="C59" s="3" t="s">
        <v>63</v>
      </c>
      <c r="D59" s="3" t="s">
        <v>73</v>
      </c>
      <c r="E59" s="0" t="n">
        <v>260</v>
      </c>
      <c r="F59" s="0" t="n">
        <v>238</v>
      </c>
      <c r="G59" s="0" t="n">
        <v>231</v>
      </c>
      <c r="H59" s="0" t="n">
        <v>7</v>
      </c>
      <c r="I59" s="0" t="n">
        <v>3.6</v>
      </c>
    </row>
    <row r="60" customFormat="false" ht="15" hidden="false" customHeight="false" outlineLevel="0" collapsed="false">
      <c r="A60" s="3" t="s">
        <v>137</v>
      </c>
      <c r="B60" s="3" t="s">
        <v>131</v>
      </c>
      <c r="C60" s="3" t="s">
        <v>63</v>
      </c>
      <c r="D60" s="3" t="s">
        <v>75</v>
      </c>
      <c r="E60" s="0" t="n">
        <v>256</v>
      </c>
      <c r="F60" s="0" t="n">
        <v>232</v>
      </c>
      <c r="G60" s="0" t="n">
        <v>219</v>
      </c>
      <c r="H60" s="0" t="n">
        <v>13</v>
      </c>
      <c r="I60" s="0" t="n">
        <v>3.9</v>
      </c>
    </row>
    <row r="61" customFormat="false" ht="15" hidden="false" customHeight="false" outlineLevel="0" collapsed="false">
      <c r="A61" s="3" t="s">
        <v>138</v>
      </c>
      <c r="B61" s="3" t="s">
        <v>131</v>
      </c>
      <c r="C61" s="3" t="s">
        <v>63</v>
      </c>
      <c r="D61" s="3" t="s">
        <v>77</v>
      </c>
      <c r="E61" s="0" t="n">
        <v>265</v>
      </c>
      <c r="F61" s="0" t="n">
        <v>245</v>
      </c>
      <c r="G61" s="0" t="n">
        <v>231</v>
      </c>
      <c r="H61" s="0" t="n">
        <v>14</v>
      </c>
      <c r="I61" s="0" t="n">
        <v>3.9</v>
      </c>
    </row>
    <row r="62" customFormat="false" ht="15" hidden="false" customHeight="false" outlineLevel="0" collapsed="false">
      <c r="A62" s="3" t="s">
        <v>139</v>
      </c>
      <c r="B62" s="3" t="s">
        <v>131</v>
      </c>
      <c r="C62" s="3" t="s">
        <v>63</v>
      </c>
      <c r="D62" s="3" t="s">
        <v>79</v>
      </c>
      <c r="E62" s="0" t="n">
        <v>260</v>
      </c>
      <c r="F62" s="0" t="n">
        <v>237</v>
      </c>
      <c r="G62" s="0" t="n">
        <v>226</v>
      </c>
      <c r="H62" s="0" t="n">
        <v>11</v>
      </c>
      <c r="I62" s="0" t="n">
        <v>2.8</v>
      </c>
    </row>
    <row r="63" customFormat="false" ht="15" hidden="false" customHeight="false" outlineLevel="0" collapsed="false">
      <c r="A63" s="3" t="s">
        <v>140</v>
      </c>
      <c r="B63" s="3" t="s">
        <v>131</v>
      </c>
      <c r="C63" s="3" t="s">
        <v>63</v>
      </c>
      <c r="D63" s="3" t="s">
        <v>81</v>
      </c>
      <c r="E63" s="0" t="n">
        <v>260</v>
      </c>
      <c r="F63" s="0" t="n">
        <v>235</v>
      </c>
      <c r="G63" s="0" t="n">
        <v>224</v>
      </c>
      <c r="H63" s="0" t="n">
        <v>11</v>
      </c>
      <c r="I63" s="0" t="n">
        <v>3.8</v>
      </c>
    </row>
    <row r="64" customFormat="false" ht="15" hidden="false" customHeight="false" outlineLevel="0" collapsed="false">
      <c r="A64" s="3" t="s">
        <v>141</v>
      </c>
      <c r="B64" s="3" t="s">
        <v>131</v>
      </c>
      <c r="C64" s="3" t="s">
        <v>63</v>
      </c>
      <c r="D64" s="3" t="s">
        <v>83</v>
      </c>
      <c r="E64" s="0" t="n">
        <v>266</v>
      </c>
      <c r="F64" s="0" t="n">
        <v>236</v>
      </c>
      <c r="G64" s="0" t="n">
        <v>225</v>
      </c>
      <c r="H64" s="0" t="n">
        <v>11</v>
      </c>
      <c r="I64" s="0" t="n">
        <v>4</v>
      </c>
    </row>
    <row r="65" customFormat="false" ht="15" hidden="false" customHeight="false" outlineLevel="0" collapsed="false">
      <c r="A65" s="3" t="s">
        <v>142</v>
      </c>
      <c r="B65" s="3" t="s">
        <v>131</v>
      </c>
      <c r="C65" s="3" t="s">
        <v>63</v>
      </c>
      <c r="D65" s="3" t="s">
        <v>85</v>
      </c>
      <c r="E65" s="0" t="n">
        <v>267</v>
      </c>
      <c r="F65" s="0" t="n">
        <v>244</v>
      </c>
      <c r="G65" s="0" t="n">
        <v>236</v>
      </c>
      <c r="H65" s="0" t="n">
        <v>8</v>
      </c>
      <c r="I65" s="0" t="n">
        <v>4.8</v>
      </c>
    </row>
    <row r="66" customFormat="false" ht="15" hidden="false" customHeight="false" outlineLevel="0" collapsed="false">
      <c r="A66" s="3" t="s">
        <v>143</v>
      </c>
      <c r="B66" s="3" t="s">
        <v>131</v>
      </c>
      <c r="C66" s="3" t="s">
        <v>63</v>
      </c>
      <c r="D66" s="3" t="s">
        <v>87</v>
      </c>
      <c r="E66" s="0" t="n">
        <v>256</v>
      </c>
      <c r="F66" s="0" t="n">
        <v>240</v>
      </c>
      <c r="G66" s="0" t="n">
        <v>230</v>
      </c>
      <c r="H66" s="0" t="n">
        <v>10</v>
      </c>
      <c r="I66" s="0" t="n">
        <v>4</v>
      </c>
    </row>
    <row r="67" customFormat="false" ht="15" hidden="false" customHeight="false" outlineLevel="0" collapsed="false">
      <c r="A67" s="3" t="s">
        <v>144</v>
      </c>
      <c r="B67" s="3" t="s">
        <v>145</v>
      </c>
      <c r="C67" s="3" t="s">
        <v>63</v>
      </c>
      <c r="D67" s="3" t="s">
        <v>31</v>
      </c>
      <c r="E67" s="0" t="n">
        <v>332</v>
      </c>
      <c r="F67" s="0" t="n">
        <v>305</v>
      </c>
      <c r="G67" s="0" t="n">
        <v>272</v>
      </c>
      <c r="H67" s="0" t="n">
        <v>33</v>
      </c>
      <c r="I67" s="0" t="n">
        <v>7.8</v>
      </c>
    </row>
    <row r="68" customFormat="false" ht="15" hidden="false" customHeight="false" outlineLevel="0" collapsed="false">
      <c r="A68" s="3" t="s">
        <v>146</v>
      </c>
      <c r="B68" s="3" t="s">
        <v>145</v>
      </c>
      <c r="C68" s="3" t="s">
        <v>63</v>
      </c>
      <c r="D68" s="3" t="s">
        <v>65</v>
      </c>
      <c r="E68" s="0" t="n">
        <v>336</v>
      </c>
      <c r="F68" s="0" t="n">
        <v>318</v>
      </c>
      <c r="G68" s="0" t="n">
        <v>280</v>
      </c>
      <c r="H68" s="0" t="n">
        <v>38</v>
      </c>
      <c r="I68" s="0" t="n">
        <v>8.4</v>
      </c>
    </row>
    <row r="69" customFormat="false" ht="15" hidden="false" customHeight="false" outlineLevel="0" collapsed="false">
      <c r="A69" s="3" t="s">
        <v>147</v>
      </c>
      <c r="B69" s="3" t="s">
        <v>145</v>
      </c>
      <c r="C69" s="3" t="s">
        <v>63</v>
      </c>
      <c r="D69" s="3" t="s">
        <v>67</v>
      </c>
      <c r="E69" s="0" t="n">
        <v>337</v>
      </c>
      <c r="F69" s="0" t="n">
        <v>318</v>
      </c>
      <c r="G69" s="0" t="n">
        <v>280</v>
      </c>
      <c r="H69" s="0" t="n">
        <v>38</v>
      </c>
      <c r="I69" s="0" t="n">
        <v>10.6</v>
      </c>
    </row>
    <row r="70" customFormat="false" ht="15" hidden="false" customHeight="false" outlineLevel="0" collapsed="false">
      <c r="A70" s="3" t="s">
        <v>148</v>
      </c>
      <c r="B70" s="3" t="s">
        <v>145</v>
      </c>
      <c r="C70" s="3" t="s">
        <v>63</v>
      </c>
      <c r="D70" s="3" t="s">
        <v>69</v>
      </c>
      <c r="E70" s="0" t="n">
        <v>337</v>
      </c>
      <c r="F70" s="0" t="n">
        <v>321</v>
      </c>
      <c r="G70" s="0" t="n">
        <v>281</v>
      </c>
      <c r="H70" s="0" t="n">
        <v>40</v>
      </c>
      <c r="I70" s="0" t="n">
        <v>7.6</v>
      </c>
    </row>
    <row r="71" customFormat="false" ht="15" hidden="false" customHeight="false" outlineLevel="0" collapsed="false">
      <c r="A71" s="3" t="s">
        <v>149</v>
      </c>
      <c r="B71" s="3" t="s">
        <v>145</v>
      </c>
      <c r="C71" s="3" t="s">
        <v>63</v>
      </c>
      <c r="D71" s="3" t="s">
        <v>71</v>
      </c>
      <c r="E71" s="0" t="n">
        <v>277</v>
      </c>
      <c r="F71" s="0" t="n">
        <v>255</v>
      </c>
      <c r="G71" s="0" t="n">
        <v>223</v>
      </c>
      <c r="H71" s="0" t="n">
        <v>32</v>
      </c>
      <c r="I71" s="0" t="n">
        <v>9.3</v>
      </c>
    </row>
    <row r="72" customFormat="false" ht="15" hidden="false" customHeight="false" outlineLevel="0" collapsed="false">
      <c r="A72" s="3" t="s">
        <v>150</v>
      </c>
      <c r="B72" s="3" t="s">
        <v>145</v>
      </c>
      <c r="C72" s="3" t="s">
        <v>63</v>
      </c>
      <c r="D72" s="3" t="s">
        <v>73</v>
      </c>
      <c r="E72" s="0" t="n">
        <v>332</v>
      </c>
      <c r="F72" s="0" t="n">
        <v>311</v>
      </c>
      <c r="G72" s="0" t="n">
        <v>279</v>
      </c>
      <c r="H72" s="0" t="n">
        <v>32</v>
      </c>
      <c r="I72" s="0" t="n">
        <v>14.6</v>
      </c>
    </row>
    <row r="73" customFormat="false" ht="15" hidden="false" customHeight="false" outlineLevel="0" collapsed="false">
      <c r="A73" s="3" t="s">
        <v>151</v>
      </c>
      <c r="B73" s="3" t="s">
        <v>145</v>
      </c>
      <c r="C73" s="3" t="s">
        <v>63</v>
      </c>
      <c r="D73" s="3" t="s">
        <v>75</v>
      </c>
      <c r="E73" s="0" t="n">
        <v>337</v>
      </c>
      <c r="F73" s="0" t="n">
        <v>316</v>
      </c>
      <c r="G73" s="0" t="n">
        <v>280</v>
      </c>
      <c r="H73" s="0" t="n">
        <v>36</v>
      </c>
      <c r="I73" s="0" t="n">
        <v>8.7</v>
      </c>
    </row>
    <row r="74" customFormat="false" ht="15" hidden="false" customHeight="false" outlineLevel="0" collapsed="false">
      <c r="A74" s="3" t="s">
        <v>152</v>
      </c>
      <c r="B74" s="3" t="s">
        <v>145</v>
      </c>
      <c r="C74" s="3" t="s">
        <v>63</v>
      </c>
      <c r="D74" s="3" t="s">
        <v>77</v>
      </c>
      <c r="E74" s="0" t="n">
        <v>337</v>
      </c>
      <c r="F74" s="0" t="n">
        <v>318</v>
      </c>
      <c r="G74" s="0" t="n">
        <v>283</v>
      </c>
      <c r="H74" s="0" t="n">
        <v>35</v>
      </c>
      <c r="I74" s="0" t="n">
        <v>9.5</v>
      </c>
    </row>
    <row r="75" customFormat="false" ht="15" hidden="false" customHeight="false" outlineLevel="0" collapsed="false">
      <c r="A75" s="3" t="s">
        <v>153</v>
      </c>
      <c r="B75" s="3" t="s">
        <v>145</v>
      </c>
      <c r="C75" s="3" t="s">
        <v>63</v>
      </c>
      <c r="D75" s="3" t="s">
        <v>79</v>
      </c>
      <c r="E75" s="0" t="n">
        <v>324</v>
      </c>
      <c r="F75" s="0" t="n">
        <v>294</v>
      </c>
      <c r="G75" s="0" t="n">
        <v>256</v>
      </c>
      <c r="H75" s="0" t="n">
        <v>38</v>
      </c>
      <c r="I75" s="0" t="n">
        <v>6.6</v>
      </c>
    </row>
    <row r="76" customFormat="false" ht="15" hidden="false" customHeight="false" outlineLevel="0" collapsed="false">
      <c r="A76" s="3" t="s">
        <v>154</v>
      </c>
      <c r="B76" s="3" t="s">
        <v>145</v>
      </c>
      <c r="C76" s="3" t="s">
        <v>63</v>
      </c>
      <c r="D76" s="3" t="s">
        <v>81</v>
      </c>
      <c r="E76" s="0" t="n">
        <v>325</v>
      </c>
      <c r="F76" s="0" t="n">
        <v>297</v>
      </c>
      <c r="G76" s="0" t="n">
        <v>257</v>
      </c>
      <c r="H76" s="0" t="n">
        <v>40</v>
      </c>
      <c r="I76" s="0" t="n">
        <v>10.6</v>
      </c>
    </row>
    <row r="77" customFormat="false" ht="15" hidden="false" customHeight="false" outlineLevel="0" collapsed="false">
      <c r="A77" s="3" t="s">
        <v>155</v>
      </c>
      <c r="B77" s="3" t="s">
        <v>145</v>
      </c>
      <c r="C77" s="3" t="s">
        <v>63</v>
      </c>
      <c r="D77" s="3" t="s">
        <v>83</v>
      </c>
      <c r="E77" s="0" t="n">
        <v>322</v>
      </c>
      <c r="F77" s="0" t="n">
        <v>291</v>
      </c>
      <c r="G77" s="0" t="n">
        <v>254</v>
      </c>
      <c r="H77" s="0" t="n">
        <v>37</v>
      </c>
      <c r="I77" s="0" t="n">
        <v>8.9</v>
      </c>
    </row>
    <row r="78" customFormat="false" ht="15" hidden="false" customHeight="false" outlineLevel="0" collapsed="false">
      <c r="A78" s="3" t="s">
        <v>156</v>
      </c>
      <c r="B78" s="3" t="s">
        <v>145</v>
      </c>
      <c r="C78" s="3" t="s">
        <v>63</v>
      </c>
      <c r="D78" s="3" t="s">
        <v>85</v>
      </c>
      <c r="E78" s="0" t="n">
        <v>333</v>
      </c>
      <c r="F78" s="0" t="n">
        <v>311</v>
      </c>
      <c r="G78" s="0" t="n">
        <v>271</v>
      </c>
      <c r="H78" s="0" t="n">
        <v>40</v>
      </c>
      <c r="I78" s="0" t="n">
        <v>6.8</v>
      </c>
    </row>
    <row r="79" customFormat="false" ht="15" hidden="false" customHeight="false" outlineLevel="0" collapsed="false">
      <c r="A79" s="3" t="s">
        <v>157</v>
      </c>
      <c r="B79" s="3" t="s">
        <v>145</v>
      </c>
      <c r="C79" s="3" t="s">
        <v>63</v>
      </c>
      <c r="D79" s="3" t="s">
        <v>87</v>
      </c>
      <c r="E79" s="0" t="n">
        <v>321</v>
      </c>
      <c r="F79" s="0" t="n">
        <v>291</v>
      </c>
      <c r="G79" s="0" t="n">
        <v>251</v>
      </c>
      <c r="H79" s="0" t="n">
        <v>40</v>
      </c>
      <c r="I79" s="0" t="n">
        <v>9.2</v>
      </c>
    </row>
    <row r="80" customFormat="false" ht="15" hidden="false" customHeight="false" outlineLevel="0" collapsed="false">
      <c r="A80" s="3" t="s">
        <v>158</v>
      </c>
      <c r="B80" s="3" t="s">
        <v>159</v>
      </c>
      <c r="C80" s="3" t="s">
        <v>160</v>
      </c>
      <c r="D80" s="3" t="s">
        <v>31</v>
      </c>
      <c r="E80" s="0" t="n">
        <v>148</v>
      </c>
      <c r="F80" s="0" t="n">
        <v>148</v>
      </c>
      <c r="G80" s="0" t="n">
        <v>140</v>
      </c>
      <c r="H80" s="0" t="n">
        <v>8</v>
      </c>
      <c r="I80" s="0" t="n">
        <v>12.2</v>
      </c>
    </row>
    <row r="81" customFormat="false" ht="15" hidden="false" customHeight="false" outlineLevel="0" collapsed="false">
      <c r="A81" s="3" t="s">
        <v>161</v>
      </c>
      <c r="B81" s="3" t="s">
        <v>159</v>
      </c>
      <c r="C81" s="3" t="s">
        <v>160</v>
      </c>
      <c r="D81" s="3" t="s">
        <v>65</v>
      </c>
      <c r="E81" s="0" t="n">
        <v>150</v>
      </c>
      <c r="F81" s="0" t="n">
        <v>146</v>
      </c>
      <c r="G81" s="0" t="n">
        <v>138</v>
      </c>
      <c r="H81" s="0" t="n">
        <v>8</v>
      </c>
      <c r="I81" s="0" t="n">
        <v>10.4</v>
      </c>
    </row>
    <row r="82" customFormat="false" ht="15" hidden="false" customHeight="false" outlineLevel="0" collapsed="false">
      <c r="A82" s="3" t="s">
        <v>162</v>
      </c>
      <c r="B82" s="3" t="s">
        <v>159</v>
      </c>
      <c r="C82" s="3" t="s">
        <v>160</v>
      </c>
      <c r="D82" s="3" t="s">
        <v>67</v>
      </c>
      <c r="E82" s="0" t="n">
        <v>154</v>
      </c>
      <c r="F82" s="0" t="n">
        <v>147</v>
      </c>
      <c r="G82" s="0" t="n">
        <v>136</v>
      </c>
      <c r="H82" s="0" t="n">
        <v>11</v>
      </c>
      <c r="I82" s="0" t="n">
        <v>10.1</v>
      </c>
    </row>
    <row r="83" customFormat="false" ht="15" hidden="false" customHeight="false" outlineLevel="0" collapsed="false">
      <c r="A83" s="3" t="s">
        <v>163</v>
      </c>
      <c r="B83" s="3" t="s">
        <v>159</v>
      </c>
      <c r="C83" s="3" t="s">
        <v>160</v>
      </c>
      <c r="D83" s="3" t="s">
        <v>69</v>
      </c>
      <c r="E83" s="0" t="n">
        <v>151</v>
      </c>
      <c r="F83" s="0" t="n">
        <v>144</v>
      </c>
      <c r="G83" s="0" t="n">
        <v>135</v>
      </c>
      <c r="H83" s="0" t="n">
        <v>9</v>
      </c>
      <c r="I83" s="0" t="n">
        <v>11.2</v>
      </c>
    </row>
    <row r="84" customFormat="false" ht="15" hidden="false" customHeight="false" outlineLevel="0" collapsed="false">
      <c r="A84" s="3" t="s">
        <v>164</v>
      </c>
      <c r="B84" s="3" t="s">
        <v>159</v>
      </c>
      <c r="C84" s="3" t="s">
        <v>160</v>
      </c>
      <c r="D84" s="3" t="s">
        <v>71</v>
      </c>
      <c r="E84" s="0" t="n">
        <v>125</v>
      </c>
      <c r="F84" s="0" t="n">
        <v>124</v>
      </c>
      <c r="G84" s="0" t="n">
        <v>115</v>
      </c>
      <c r="H84" s="0" t="n">
        <v>9</v>
      </c>
      <c r="I84" s="0" t="n">
        <v>14.1</v>
      </c>
    </row>
    <row r="85" customFormat="false" ht="15" hidden="false" customHeight="false" outlineLevel="0" collapsed="false">
      <c r="A85" s="3" t="s">
        <v>165</v>
      </c>
      <c r="B85" s="3" t="s">
        <v>159</v>
      </c>
      <c r="C85" s="3" t="s">
        <v>160</v>
      </c>
      <c r="D85" s="3" t="s">
        <v>73</v>
      </c>
      <c r="E85" s="0" t="n">
        <v>148</v>
      </c>
      <c r="F85" s="0" t="n">
        <v>145</v>
      </c>
      <c r="G85" s="0" t="n">
        <v>137</v>
      </c>
      <c r="H85" s="0" t="n">
        <v>8</v>
      </c>
      <c r="I85" s="0" t="n">
        <v>15.4</v>
      </c>
    </row>
    <row r="86" customFormat="false" ht="15" hidden="false" customHeight="false" outlineLevel="0" collapsed="false">
      <c r="A86" s="3" t="s">
        <v>166</v>
      </c>
      <c r="B86" s="3" t="s">
        <v>159</v>
      </c>
      <c r="C86" s="3" t="s">
        <v>160</v>
      </c>
      <c r="D86" s="3" t="s">
        <v>75</v>
      </c>
      <c r="E86" s="0" t="n">
        <v>149</v>
      </c>
      <c r="F86" s="0" t="n">
        <v>143</v>
      </c>
      <c r="G86" s="0" t="n">
        <v>131</v>
      </c>
      <c r="H86" s="0" t="n">
        <v>12</v>
      </c>
      <c r="I86" s="0" t="n">
        <v>10.1</v>
      </c>
    </row>
    <row r="87" customFormat="false" ht="15" hidden="false" customHeight="false" outlineLevel="0" collapsed="false">
      <c r="A87" s="3" t="s">
        <v>167</v>
      </c>
      <c r="B87" s="3" t="s">
        <v>159</v>
      </c>
      <c r="C87" s="3" t="s">
        <v>160</v>
      </c>
      <c r="D87" s="3" t="s">
        <v>77</v>
      </c>
      <c r="E87" s="0" t="n">
        <v>147</v>
      </c>
      <c r="F87" s="0" t="n">
        <v>142</v>
      </c>
      <c r="G87" s="0" t="n">
        <v>134</v>
      </c>
      <c r="H87" s="0" t="n">
        <v>8</v>
      </c>
      <c r="I87" s="0" t="n">
        <v>12.6</v>
      </c>
    </row>
    <row r="88" customFormat="false" ht="15" hidden="false" customHeight="false" outlineLevel="0" collapsed="false">
      <c r="A88" s="3" t="s">
        <v>168</v>
      </c>
      <c r="B88" s="3" t="s">
        <v>159</v>
      </c>
      <c r="C88" s="3" t="s">
        <v>160</v>
      </c>
      <c r="D88" s="3" t="s">
        <v>79</v>
      </c>
      <c r="E88" s="0" t="n">
        <v>149</v>
      </c>
      <c r="F88" s="0" t="n">
        <v>149</v>
      </c>
      <c r="G88" s="0" t="n">
        <v>140</v>
      </c>
      <c r="H88" s="0" t="n">
        <v>9</v>
      </c>
      <c r="I88" s="0" t="n">
        <v>10.7</v>
      </c>
    </row>
    <row r="89" customFormat="false" ht="15" hidden="false" customHeight="false" outlineLevel="0" collapsed="false">
      <c r="A89" s="3" t="s">
        <v>169</v>
      </c>
      <c r="B89" s="3" t="s">
        <v>159</v>
      </c>
      <c r="C89" s="3" t="s">
        <v>160</v>
      </c>
      <c r="D89" s="3" t="s">
        <v>81</v>
      </c>
      <c r="E89" s="0" t="n">
        <v>148</v>
      </c>
      <c r="F89" s="0" t="n">
        <v>145</v>
      </c>
      <c r="G89" s="0" t="n">
        <v>134</v>
      </c>
      <c r="H89" s="0" t="n">
        <v>11</v>
      </c>
      <c r="I89" s="0" t="n">
        <v>9.6</v>
      </c>
    </row>
    <row r="90" customFormat="false" ht="15" hidden="false" customHeight="false" outlineLevel="0" collapsed="false">
      <c r="A90" s="3" t="s">
        <v>170</v>
      </c>
      <c r="B90" s="3" t="s">
        <v>159</v>
      </c>
      <c r="C90" s="3" t="s">
        <v>160</v>
      </c>
      <c r="D90" s="3" t="s">
        <v>83</v>
      </c>
      <c r="E90" s="0" t="n">
        <v>151</v>
      </c>
      <c r="F90" s="0" t="n">
        <v>148</v>
      </c>
      <c r="G90" s="0" t="n">
        <v>137</v>
      </c>
      <c r="H90" s="0" t="n">
        <v>11</v>
      </c>
      <c r="I90" s="0" t="n">
        <v>11.3</v>
      </c>
    </row>
    <row r="91" customFormat="false" ht="15" hidden="false" customHeight="false" outlineLevel="0" collapsed="false">
      <c r="A91" s="3" t="s">
        <v>171</v>
      </c>
      <c r="B91" s="3" t="s">
        <v>159</v>
      </c>
      <c r="C91" s="3" t="s">
        <v>160</v>
      </c>
      <c r="D91" s="3" t="s">
        <v>85</v>
      </c>
      <c r="E91" s="0" t="n">
        <v>151</v>
      </c>
      <c r="F91" s="0" t="n">
        <v>150</v>
      </c>
      <c r="G91" s="0" t="n">
        <v>137</v>
      </c>
      <c r="H91" s="0" t="n">
        <v>13</v>
      </c>
      <c r="I91" s="0" t="n">
        <v>15.8</v>
      </c>
    </row>
    <row r="92" customFormat="false" ht="15" hidden="false" customHeight="false" outlineLevel="0" collapsed="false">
      <c r="A92" s="3" t="s">
        <v>172</v>
      </c>
      <c r="B92" s="3" t="s">
        <v>159</v>
      </c>
      <c r="C92" s="3" t="s">
        <v>160</v>
      </c>
      <c r="D92" s="3" t="s">
        <v>87</v>
      </c>
      <c r="E92" s="0" t="n">
        <v>146</v>
      </c>
      <c r="F92" s="0" t="n">
        <v>143</v>
      </c>
      <c r="G92" s="0" t="n">
        <v>134</v>
      </c>
      <c r="H92" s="0" t="n">
        <v>9</v>
      </c>
      <c r="I92" s="0" t="n">
        <v>16.9</v>
      </c>
    </row>
    <row r="93" customFormat="false" ht="15" hidden="false" customHeight="false" outlineLevel="0" collapsed="false">
      <c r="A93" s="3" t="s">
        <v>173</v>
      </c>
      <c r="B93" s="3" t="s">
        <v>174</v>
      </c>
      <c r="C93" s="3" t="s">
        <v>160</v>
      </c>
      <c r="D93" s="3" t="s">
        <v>31</v>
      </c>
      <c r="E93" s="0" t="n">
        <v>122</v>
      </c>
      <c r="F93" s="0" t="n">
        <v>101</v>
      </c>
      <c r="G93" s="0" t="n">
        <v>95</v>
      </c>
      <c r="H93" s="0" t="n">
        <v>6</v>
      </c>
      <c r="I93" s="0" t="n">
        <v>1.4</v>
      </c>
    </row>
    <row r="94" customFormat="false" ht="15" hidden="false" customHeight="false" outlineLevel="0" collapsed="false">
      <c r="A94" s="3" t="s">
        <v>175</v>
      </c>
      <c r="B94" s="3" t="s">
        <v>174</v>
      </c>
      <c r="C94" s="3" t="s">
        <v>160</v>
      </c>
      <c r="D94" s="3" t="s">
        <v>65</v>
      </c>
      <c r="E94" s="0" t="n">
        <v>121</v>
      </c>
      <c r="F94" s="0" t="n">
        <v>102</v>
      </c>
      <c r="G94" s="0" t="n">
        <v>95</v>
      </c>
      <c r="H94" s="0" t="n">
        <v>7</v>
      </c>
      <c r="I94" s="0" t="n">
        <v>1.1</v>
      </c>
    </row>
    <row r="95" customFormat="false" ht="15" hidden="false" customHeight="false" outlineLevel="0" collapsed="false">
      <c r="A95" s="3" t="s">
        <v>176</v>
      </c>
      <c r="B95" s="3" t="s">
        <v>174</v>
      </c>
      <c r="C95" s="3" t="s">
        <v>160</v>
      </c>
      <c r="D95" s="3" t="s">
        <v>67</v>
      </c>
      <c r="E95" s="0" t="n">
        <v>117</v>
      </c>
      <c r="F95" s="0" t="n">
        <v>100</v>
      </c>
      <c r="G95" s="0" t="n">
        <v>94</v>
      </c>
      <c r="H95" s="0" t="n">
        <v>6</v>
      </c>
      <c r="I95" s="0" t="n">
        <v>1</v>
      </c>
    </row>
    <row r="96" customFormat="false" ht="15" hidden="false" customHeight="false" outlineLevel="0" collapsed="false">
      <c r="A96" s="3" t="s">
        <v>177</v>
      </c>
      <c r="B96" s="3" t="s">
        <v>174</v>
      </c>
      <c r="C96" s="3" t="s">
        <v>160</v>
      </c>
      <c r="D96" s="3" t="s">
        <v>69</v>
      </c>
      <c r="E96" s="0" t="n">
        <v>122</v>
      </c>
      <c r="F96" s="0" t="n">
        <v>104</v>
      </c>
      <c r="G96" s="0" t="n">
        <v>96</v>
      </c>
      <c r="H96" s="0" t="n">
        <v>8</v>
      </c>
      <c r="I96" s="0" t="n">
        <v>1.6</v>
      </c>
    </row>
    <row r="97" customFormat="false" ht="15" hidden="false" customHeight="false" outlineLevel="0" collapsed="false">
      <c r="A97" s="3" t="s">
        <v>178</v>
      </c>
      <c r="B97" s="3" t="s">
        <v>174</v>
      </c>
      <c r="C97" s="3" t="s">
        <v>160</v>
      </c>
      <c r="D97" s="3" t="s">
        <v>71</v>
      </c>
      <c r="E97" s="0" t="n">
        <v>96</v>
      </c>
      <c r="F97" s="0" t="n">
        <v>82</v>
      </c>
      <c r="G97" s="0" t="n">
        <v>78</v>
      </c>
      <c r="H97" s="0" t="n">
        <v>4</v>
      </c>
      <c r="I97" s="0" t="n">
        <v>1.2</v>
      </c>
    </row>
    <row r="98" customFormat="false" ht="15" hidden="false" customHeight="false" outlineLevel="0" collapsed="false">
      <c r="A98" s="3" t="s">
        <v>179</v>
      </c>
      <c r="B98" s="3" t="s">
        <v>174</v>
      </c>
      <c r="C98" s="3" t="s">
        <v>160</v>
      </c>
      <c r="D98" s="3" t="s">
        <v>73</v>
      </c>
      <c r="E98" s="0" t="n">
        <v>120</v>
      </c>
      <c r="F98" s="0" t="n">
        <v>99</v>
      </c>
      <c r="G98" s="0" t="n">
        <v>93</v>
      </c>
      <c r="H98" s="0" t="n">
        <v>6</v>
      </c>
      <c r="I98" s="0" t="n">
        <v>1.5</v>
      </c>
    </row>
    <row r="99" customFormat="false" ht="15" hidden="false" customHeight="false" outlineLevel="0" collapsed="false">
      <c r="A99" s="3" t="s">
        <v>180</v>
      </c>
      <c r="B99" s="3" t="s">
        <v>174</v>
      </c>
      <c r="C99" s="3" t="s">
        <v>160</v>
      </c>
      <c r="D99" s="3" t="s">
        <v>75</v>
      </c>
      <c r="E99" s="0" t="n">
        <v>122</v>
      </c>
      <c r="F99" s="0" t="n">
        <v>103</v>
      </c>
      <c r="G99" s="0" t="n">
        <v>96</v>
      </c>
      <c r="H99" s="0" t="n">
        <v>7</v>
      </c>
      <c r="I99" s="0" t="n">
        <v>1.2</v>
      </c>
    </row>
    <row r="100" customFormat="false" ht="15" hidden="false" customHeight="false" outlineLevel="0" collapsed="false">
      <c r="A100" s="3" t="s">
        <v>181</v>
      </c>
      <c r="B100" s="3" t="s">
        <v>174</v>
      </c>
      <c r="C100" s="3" t="s">
        <v>160</v>
      </c>
      <c r="D100" s="3" t="s">
        <v>77</v>
      </c>
      <c r="E100" s="0" t="n">
        <v>118</v>
      </c>
      <c r="F100" s="0" t="n">
        <v>100</v>
      </c>
      <c r="G100" s="0" t="n">
        <v>94</v>
      </c>
      <c r="H100" s="0" t="n">
        <v>6</v>
      </c>
      <c r="I100" s="0" t="n">
        <v>1.7</v>
      </c>
    </row>
    <row r="101" customFormat="false" ht="15" hidden="false" customHeight="false" outlineLevel="0" collapsed="false">
      <c r="A101" s="3" t="s">
        <v>182</v>
      </c>
      <c r="B101" s="3" t="s">
        <v>174</v>
      </c>
      <c r="C101" s="3" t="s">
        <v>160</v>
      </c>
      <c r="D101" s="3" t="s">
        <v>79</v>
      </c>
      <c r="E101" s="0" t="n">
        <v>118</v>
      </c>
      <c r="F101" s="0" t="n">
        <v>100</v>
      </c>
      <c r="G101" s="0" t="n">
        <v>93</v>
      </c>
      <c r="H101" s="0" t="n">
        <v>7</v>
      </c>
      <c r="I101" s="0" t="n">
        <v>1.6</v>
      </c>
    </row>
    <row r="102" customFormat="false" ht="15" hidden="false" customHeight="false" outlineLevel="0" collapsed="false">
      <c r="A102" s="3" t="s">
        <v>183</v>
      </c>
      <c r="B102" s="3" t="s">
        <v>174</v>
      </c>
      <c r="C102" s="3" t="s">
        <v>160</v>
      </c>
      <c r="D102" s="3" t="s">
        <v>81</v>
      </c>
      <c r="E102" s="0" t="n">
        <v>119</v>
      </c>
      <c r="F102" s="0" t="n">
        <v>98</v>
      </c>
      <c r="G102" s="0" t="n">
        <v>93</v>
      </c>
      <c r="H102" s="0" t="n">
        <v>5</v>
      </c>
      <c r="I102" s="0" t="n">
        <v>1.3</v>
      </c>
    </row>
    <row r="103" customFormat="false" ht="15" hidden="false" customHeight="false" outlineLevel="0" collapsed="false">
      <c r="A103" s="3" t="s">
        <v>184</v>
      </c>
      <c r="B103" s="3" t="s">
        <v>174</v>
      </c>
      <c r="C103" s="3" t="s">
        <v>160</v>
      </c>
      <c r="D103" s="3" t="s">
        <v>83</v>
      </c>
      <c r="E103" s="0" t="n">
        <v>118</v>
      </c>
      <c r="F103" s="0" t="n">
        <v>98</v>
      </c>
      <c r="G103" s="0" t="n">
        <v>91</v>
      </c>
      <c r="H103" s="0" t="n">
        <v>7</v>
      </c>
      <c r="I103" s="0" t="n">
        <v>1.3</v>
      </c>
    </row>
    <row r="104" customFormat="false" ht="15" hidden="false" customHeight="false" outlineLevel="0" collapsed="false">
      <c r="A104" s="3" t="s">
        <v>185</v>
      </c>
      <c r="B104" s="3" t="s">
        <v>174</v>
      </c>
      <c r="C104" s="3" t="s">
        <v>160</v>
      </c>
      <c r="D104" s="3" t="s">
        <v>85</v>
      </c>
      <c r="E104" s="0" t="n">
        <v>118</v>
      </c>
      <c r="F104" s="0" t="n">
        <v>99</v>
      </c>
      <c r="G104" s="0" t="n">
        <v>93</v>
      </c>
      <c r="H104" s="0" t="n">
        <v>6</v>
      </c>
      <c r="I104" s="0" t="n">
        <v>1.9</v>
      </c>
    </row>
    <row r="105" customFormat="false" ht="15" hidden="false" customHeight="false" outlineLevel="0" collapsed="false">
      <c r="A105" s="3" t="s">
        <v>186</v>
      </c>
      <c r="B105" s="3" t="s">
        <v>174</v>
      </c>
      <c r="C105" s="3" t="s">
        <v>160</v>
      </c>
      <c r="D105" s="3" t="s">
        <v>87</v>
      </c>
      <c r="E105" s="0" t="n">
        <v>117</v>
      </c>
      <c r="F105" s="0" t="n">
        <v>99</v>
      </c>
      <c r="G105" s="0" t="n">
        <v>95</v>
      </c>
      <c r="H105" s="0" t="n">
        <v>4</v>
      </c>
      <c r="I105" s="0" t="n">
        <v>1.5</v>
      </c>
    </row>
    <row r="106" customFormat="false" ht="15" hidden="false" customHeight="false" outlineLevel="0" collapsed="false">
      <c r="A106" s="3" t="s">
        <v>187</v>
      </c>
      <c r="B106" s="3" t="s">
        <v>188</v>
      </c>
      <c r="C106" s="3" t="s">
        <v>160</v>
      </c>
      <c r="D106" s="3" t="s">
        <v>31</v>
      </c>
      <c r="E106" s="0" t="n">
        <v>156</v>
      </c>
      <c r="F106" s="0" t="n">
        <v>139</v>
      </c>
      <c r="G106" s="0" t="n">
        <v>131</v>
      </c>
      <c r="H106" s="0" t="n">
        <v>8</v>
      </c>
      <c r="I106" s="0" t="n">
        <v>1.7</v>
      </c>
    </row>
    <row r="107" customFormat="false" ht="15" hidden="false" customHeight="false" outlineLevel="0" collapsed="false">
      <c r="A107" s="3" t="s">
        <v>189</v>
      </c>
      <c r="B107" s="3" t="s">
        <v>188</v>
      </c>
      <c r="C107" s="3" t="s">
        <v>160</v>
      </c>
      <c r="D107" s="3" t="s">
        <v>65</v>
      </c>
      <c r="E107" s="0" t="n">
        <v>163</v>
      </c>
      <c r="F107" s="0" t="n">
        <v>145</v>
      </c>
      <c r="G107" s="0" t="n">
        <v>133</v>
      </c>
      <c r="H107" s="0" t="n">
        <v>12</v>
      </c>
      <c r="I107" s="0" t="n">
        <v>2.7</v>
      </c>
    </row>
    <row r="108" customFormat="false" ht="15" hidden="false" customHeight="false" outlineLevel="0" collapsed="false">
      <c r="A108" s="3" t="s">
        <v>190</v>
      </c>
      <c r="B108" s="3" t="s">
        <v>188</v>
      </c>
      <c r="C108" s="3" t="s">
        <v>160</v>
      </c>
      <c r="D108" s="3" t="s">
        <v>67</v>
      </c>
      <c r="E108" s="0" t="n">
        <v>159</v>
      </c>
      <c r="F108" s="0" t="n">
        <v>139</v>
      </c>
      <c r="G108" s="0" t="n">
        <v>127</v>
      </c>
      <c r="H108" s="0" t="n">
        <v>12</v>
      </c>
      <c r="I108" s="0" t="n">
        <v>2.7</v>
      </c>
    </row>
    <row r="109" customFormat="false" ht="15" hidden="false" customHeight="false" outlineLevel="0" collapsed="false">
      <c r="A109" s="3" t="s">
        <v>191</v>
      </c>
      <c r="B109" s="3" t="s">
        <v>188</v>
      </c>
      <c r="C109" s="3" t="s">
        <v>160</v>
      </c>
      <c r="D109" s="3" t="s">
        <v>69</v>
      </c>
      <c r="E109" s="0" t="n">
        <v>164</v>
      </c>
      <c r="F109" s="0" t="n">
        <v>144</v>
      </c>
      <c r="G109" s="0" t="n">
        <v>132</v>
      </c>
      <c r="H109" s="0" t="n">
        <v>12</v>
      </c>
      <c r="I109" s="0" t="n">
        <v>2.6</v>
      </c>
    </row>
    <row r="110" customFormat="false" ht="15" hidden="false" customHeight="false" outlineLevel="0" collapsed="false">
      <c r="A110" s="3" t="s">
        <v>192</v>
      </c>
      <c r="B110" s="3" t="s">
        <v>188</v>
      </c>
      <c r="C110" s="3" t="s">
        <v>160</v>
      </c>
      <c r="D110" s="3" t="s">
        <v>71</v>
      </c>
      <c r="E110" s="0" t="n">
        <v>133</v>
      </c>
      <c r="F110" s="0" t="n">
        <v>121</v>
      </c>
      <c r="G110" s="0" t="n">
        <v>112</v>
      </c>
      <c r="H110" s="0" t="n">
        <v>9</v>
      </c>
      <c r="I110" s="0" t="n">
        <v>2.5</v>
      </c>
    </row>
    <row r="111" customFormat="false" ht="15" hidden="false" customHeight="false" outlineLevel="0" collapsed="false">
      <c r="A111" s="3" t="s">
        <v>193</v>
      </c>
      <c r="B111" s="3" t="s">
        <v>188</v>
      </c>
      <c r="C111" s="3" t="s">
        <v>160</v>
      </c>
      <c r="D111" s="3" t="s">
        <v>73</v>
      </c>
      <c r="E111" s="0" t="n">
        <v>155</v>
      </c>
      <c r="F111" s="0" t="n">
        <v>139</v>
      </c>
      <c r="G111" s="0" t="n">
        <v>128</v>
      </c>
      <c r="H111" s="0" t="n">
        <v>11</v>
      </c>
      <c r="I111" s="0" t="n">
        <v>2.3</v>
      </c>
    </row>
    <row r="112" customFormat="false" ht="15" hidden="false" customHeight="false" outlineLevel="0" collapsed="false">
      <c r="A112" s="3" t="s">
        <v>194</v>
      </c>
      <c r="B112" s="3" t="s">
        <v>188</v>
      </c>
      <c r="C112" s="3" t="s">
        <v>160</v>
      </c>
      <c r="D112" s="3" t="s">
        <v>75</v>
      </c>
      <c r="E112" s="0" t="n">
        <v>159</v>
      </c>
      <c r="F112" s="0" t="n">
        <v>142</v>
      </c>
      <c r="G112" s="0" t="n">
        <v>132</v>
      </c>
      <c r="H112" s="0" t="n">
        <v>10</v>
      </c>
      <c r="I112" s="0" t="n">
        <v>3.7</v>
      </c>
    </row>
    <row r="113" customFormat="false" ht="15" hidden="false" customHeight="false" outlineLevel="0" collapsed="false">
      <c r="A113" s="3" t="s">
        <v>195</v>
      </c>
      <c r="B113" s="3" t="s">
        <v>188</v>
      </c>
      <c r="C113" s="3" t="s">
        <v>160</v>
      </c>
      <c r="D113" s="3" t="s">
        <v>77</v>
      </c>
      <c r="E113" s="0" t="n">
        <v>164</v>
      </c>
      <c r="F113" s="0" t="n">
        <v>149</v>
      </c>
      <c r="G113" s="0" t="n">
        <v>139</v>
      </c>
      <c r="H113" s="0" t="n">
        <v>10</v>
      </c>
      <c r="I113" s="0" t="n">
        <v>2.3</v>
      </c>
    </row>
    <row r="114" customFormat="false" ht="15" hidden="false" customHeight="false" outlineLevel="0" collapsed="false">
      <c r="A114" s="3" t="s">
        <v>196</v>
      </c>
      <c r="B114" s="3" t="s">
        <v>188</v>
      </c>
      <c r="C114" s="3" t="s">
        <v>160</v>
      </c>
      <c r="D114" s="3" t="s">
        <v>79</v>
      </c>
      <c r="E114" s="0" t="n">
        <v>162</v>
      </c>
      <c r="F114" s="0" t="n">
        <v>145</v>
      </c>
      <c r="G114" s="0" t="n">
        <v>133</v>
      </c>
      <c r="H114" s="0" t="n">
        <v>12</v>
      </c>
      <c r="I114" s="0" t="n">
        <v>2.3</v>
      </c>
    </row>
    <row r="115" customFormat="false" ht="15" hidden="false" customHeight="false" outlineLevel="0" collapsed="false">
      <c r="A115" s="3" t="s">
        <v>197</v>
      </c>
      <c r="B115" s="3" t="s">
        <v>188</v>
      </c>
      <c r="C115" s="3" t="s">
        <v>160</v>
      </c>
      <c r="D115" s="3" t="s">
        <v>81</v>
      </c>
      <c r="E115" s="0" t="n">
        <v>164</v>
      </c>
      <c r="F115" s="0" t="n">
        <v>144</v>
      </c>
      <c r="G115" s="0" t="n">
        <v>132</v>
      </c>
      <c r="H115" s="0" t="n">
        <v>12</v>
      </c>
      <c r="I115" s="0" t="n">
        <v>3</v>
      </c>
    </row>
    <row r="116" customFormat="false" ht="15" hidden="false" customHeight="false" outlineLevel="0" collapsed="false">
      <c r="A116" s="3" t="s">
        <v>198</v>
      </c>
      <c r="B116" s="3" t="s">
        <v>188</v>
      </c>
      <c r="C116" s="3" t="s">
        <v>160</v>
      </c>
      <c r="D116" s="3" t="s">
        <v>83</v>
      </c>
      <c r="E116" s="0" t="n">
        <v>160</v>
      </c>
      <c r="F116" s="0" t="n">
        <v>141</v>
      </c>
      <c r="G116" s="0" t="n">
        <v>133</v>
      </c>
      <c r="H116" s="0" t="n">
        <v>8</v>
      </c>
      <c r="I116" s="0" t="n">
        <v>3.5</v>
      </c>
    </row>
    <row r="117" customFormat="false" ht="15" hidden="false" customHeight="false" outlineLevel="0" collapsed="false">
      <c r="A117" s="3" t="s">
        <v>199</v>
      </c>
      <c r="B117" s="3" t="s">
        <v>188</v>
      </c>
      <c r="C117" s="3" t="s">
        <v>160</v>
      </c>
      <c r="D117" s="3" t="s">
        <v>85</v>
      </c>
      <c r="E117" s="0" t="n">
        <v>158</v>
      </c>
      <c r="F117" s="0" t="n">
        <v>141</v>
      </c>
      <c r="G117" s="0" t="n">
        <v>133</v>
      </c>
      <c r="H117" s="0" t="n">
        <v>8</v>
      </c>
      <c r="I117" s="0" t="n">
        <v>2.4</v>
      </c>
    </row>
    <row r="118" customFormat="false" ht="15" hidden="false" customHeight="false" outlineLevel="0" collapsed="false">
      <c r="A118" s="3" t="s">
        <v>200</v>
      </c>
      <c r="B118" s="3" t="s">
        <v>188</v>
      </c>
      <c r="C118" s="3" t="s">
        <v>160</v>
      </c>
      <c r="D118" s="3" t="s">
        <v>87</v>
      </c>
      <c r="E118" s="0" t="n">
        <v>163</v>
      </c>
      <c r="F118" s="0" t="n">
        <v>148</v>
      </c>
      <c r="G118" s="0" t="n">
        <v>139</v>
      </c>
      <c r="H118" s="0" t="n">
        <v>9</v>
      </c>
      <c r="I118" s="0" t="n">
        <v>2</v>
      </c>
    </row>
    <row r="119" customFormat="false" ht="15" hidden="false" customHeight="false" outlineLevel="0" collapsed="false">
      <c r="A119" s="3" t="s">
        <v>201</v>
      </c>
      <c r="B119" s="3" t="s">
        <v>202</v>
      </c>
      <c r="C119" s="3" t="s">
        <v>160</v>
      </c>
      <c r="D119" s="3" t="s">
        <v>31</v>
      </c>
      <c r="E119" s="0" t="n">
        <v>176</v>
      </c>
      <c r="F119" s="0" t="n">
        <v>145</v>
      </c>
      <c r="G119" s="0" t="n">
        <v>131</v>
      </c>
      <c r="H119" s="0" t="n">
        <v>14</v>
      </c>
      <c r="I119" s="0" t="n">
        <v>4.3</v>
      </c>
    </row>
    <row r="120" customFormat="false" ht="15" hidden="false" customHeight="false" outlineLevel="0" collapsed="false">
      <c r="A120" s="3" t="s">
        <v>203</v>
      </c>
      <c r="B120" s="3" t="s">
        <v>202</v>
      </c>
      <c r="C120" s="3" t="s">
        <v>160</v>
      </c>
      <c r="D120" s="3" t="s">
        <v>65</v>
      </c>
      <c r="E120" s="0" t="n">
        <v>185</v>
      </c>
      <c r="F120" s="0" t="n">
        <v>156</v>
      </c>
      <c r="G120" s="0" t="n">
        <v>142</v>
      </c>
      <c r="H120" s="0" t="n">
        <v>14</v>
      </c>
      <c r="I120" s="0" t="n">
        <v>4.6</v>
      </c>
    </row>
    <row r="121" customFormat="false" ht="15" hidden="false" customHeight="false" outlineLevel="0" collapsed="false">
      <c r="A121" s="3" t="s">
        <v>204</v>
      </c>
      <c r="B121" s="3" t="s">
        <v>202</v>
      </c>
      <c r="C121" s="3" t="s">
        <v>160</v>
      </c>
      <c r="D121" s="3" t="s">
        <v>67</v>
      </c>
      <c r="E121" s="0" t="n">
        <v>180</v>
      </c>
      <c r="F121" s="0" t="n">
        <v>149</v>
      </c>
      <c r="G121" s="0" t="n">
        <v>137</v>
      </c>
      <c r="H121" s="0" t="n">
        <v>12</v>
      </c>
      <c r="I121" s="0" t="n">
        <v>3.7</v>
      </c>
    </row>
    <row r="122" customFormat="false" ht="15" hidden="false" customHeight="false" outlineLevel="0" collapsed="false">
      <c r="A122" s="3" t="s">
        <v>205</v>
      </c>
      <c r="B122" s="3" t="s">
        <v>202</v>
      </c>
      <c r="C122" s="3" t="s">
        <v>160</v>
      </c>
      <c r="D122" s="3" t="s">
        <v>69</v>
      </c>
      <c r="E122" s="0" t="n">
        <v>183</v>
      </c>
      <c r="F122" s="0" t="n">
        <v>157</v>
      </c>
      <c r="G122" s="0" t="n">
        <v>142</v>
      </c>
      <c r="H122" s="0" t="n">
        <v>15</v>
      </c>
      <c r="I122" s="0" t="n">
        <v>3.7</v>
      </c>
    </row>
    <row r="123" customFormat="false" ht="15" hidden="false" customHeight="false" outlineLevel="0" collapsed="false">
      <c r="A123" s="3" t="s">
        <v>206</v>
      </c>
      <c r="B123" s="3" t="s">
        <v>202</v>
      </c>
      <c r="C123" s="3" t="s">
        <v>160</v>
      </c>
      <c r="D123" s="3" t="s">
        <v>71</v>
      </c>
      <c r="E123" s="0" t="n">
        <v>148</v>
      </c>
      <c r="F123" s="0" t="n">
        <v>125</v>
      </c>
      <c r="G123" s="0" t="n">
        <v>112</v>
      </c>
      <c r="H123" s="0" t="n">
        <v>13</v>
      </c>
      <c r="I123" s="0" t="n">
        <v>4.8</v>
      </c>
    </row>
    <row r="124" customFormat="false" ht="15" hidden="false" customHeight="false" outlineLevel="0" collapsed="false">
      <c r="A124" s="3" t="s">
        <v>207</v>
      </c>
      <c r="B124" s="3" t="s">
        <v>202</v>
      </c>
      <c r="C124" s="3" t="s">
        <v>160</v>
      </c>
      <c r="D124" s="3" t="s">
        <v>73</v>
      </c>
      <c r="E124" s="0" t="n">
        <v>175</v>
      </c>
      <c r="F124" s="0" t="n">
        <v>145</v>
      </c>
      <c r="G124" s="0" t="n">
        <v>131</v>
      </c>
      <c r="H124" s="0" t="n">
        <v>14</v>
      </c>
      <c r="I124" s="0" t="n">
        <v>3.6</v>
      </c>
    </row>
    <row r="125" customFormat="false" ht="15" hidden="false" customHeight="false" outlineLevel="0" collapsed="false">
      <c r="A125" s="3" t="s">
        <v>208</v>
      </c>
      <c r="B125" s="3" t="s">
        <v>202</v>
      </c>
      <c r="C125" s="3" t="s">
        <v>160</v>
      </c>
      <c r="D125" s="3" t="s">
        <v>75</v>
      </c>
      <c r="E125" s="0" t="n">
        <v>185</v>
      </c>
      <c r="F125" s="0" t="n">
        <v>159</v>
      </c>
      <c r="G125" s="0" t="n">
        <v>144</v>
      </c>
      <c r="H125" s="0" t="n">
        <v>15</v>
      </c>
      <c r="I125" s="0" t="n">
        <v>4.3</v>
      </c>
    </row>
    <row r="126" customFormat="false" ht="15" hidden="false" customHeight="false" outlineLevel="0" collapsed="false">
      <c r="A126" s="3" t="s">
        <v>209</v>
      </c>
      <c r="B126" s="3" t="s">
        <v>202</v>
      </c>
      <c r="C126" s="3" t="s">
        <v>160</v>
      </c>
      <c r="D126" s="3" t="s">
        <v>77</v>
      </c>
      <c r="E126" s="0" t="n">
        <v>177</v>
      </c>
      <c r="F126" s="0" t="n">
        <v>152</v>
      </c>
      <c r="G126" s="0" t="n">
        <v>138</v>
      </c>
      <c r="H126" s="0" t="n">
        <v>14</v>
      </c>
      <c r="I126" s="0" t="n">
        <v>4.7</v>
      </c>
    </row>
    <row r="127" customFormat="false" ht="15" hidden="false" customHeight="false" outlineLevel="0" collapsed="false">
      <c r="A127" s="3" t="s">
        <v>210</v>
      </c>
      <c r="B127" s="3" t="s">
        <v>202</v>
      </c>
      <c r="C127" s="3" t="s">
        <v>160</v>
      </c>
      <c r="D127" s="3" t="s">
        <v>79</v>
      </c>
      <c r="E127" s="0" t="n">
        <v>176</v>
      </c>
      <c r="F127" s="0" t="n">
        <v>145</v>
      </c>
      <c r="G127" s="0" t="n">
        <v>129</v>
      </c>
      <c r="H127" s="0" t="n">
        <v>16</v>
      </c>
      <c r="I127" s="0" t="n">
        <v>6.5</v>
      </c>
    </row>
    <row r="128" customFormat="false" ht="15" hidden="false" customHeight="false" outlineLevel="0" collapsed="false">
      <c r="A128" s="3" t="s">
        <v>211</v>
      </c>
      <c r="B128" s="3" t="s">
        <v>202</v>
      </c>
      <c r="C128" s="3" t="s">
        <v>160</v>
      </c>
      <c r="D128" s="3" t="s">
        <v>81</v>
      </c>
      <c r="E128" s="0" t="n">
        <v>179</v>
      </c>
      <c r="F128" s="0" t="n">
        <v>154</v>
      </c>
      <c r="G128" s="0" t="n">
        <v>139</v>
      </c>
      <c r="H128" s="0" t="n">
        <v>15</v>
      </c>
      <c r="I128" s="0" t="n">
        <v>3.8</v>
      </c>
    </row>
    <row r="129" customFormat="false" ht="15" hidden="false" customHeight="false" outlineLevel="0" collapsed="false">
      <c r="A129" s="3" t="s">
        <v>212</v>
      </c>
      <c r="B129" s="3" t="s">
        <v>202</v>
      </c>
      <c r="C129" s="3" t="s">
        <v>160</v>
      </c>
      <c r="D129" s="3" t="s">
        <v>83</v>
      </c>
      <c r="E129" s="0" t="n">
        <v>181</v>
      </c>
      <c r="F129" s="0" t="n">
        <v>152</v>
      </c>
      <c r="G129" s="0" t="n">
        <v>140</v>
      </c>
      <c r="H129" s="0" t="n">
        <v>12</v>
      </c>
      <c r="I129" s="0" t="n">
        <v>4.3</v>
      </c>
    </row>
    <row r="130" customFormat="false" ht="15" hidden="false" customHeight="false" outlineLevel="0" collapsed="false">
      <c r="A130" s="3" t="s">
        <v>213</v>
      </c>
      <c r="B130" s="3" t="s">
        <v>202</v>
      </c>
      <c r="C130" s="3" t="s">
        <v>160</v>
      </c>
      <c r="D130" s="3" t="s">
        <v>85</v>
      </c>
      <c r="E130" s="0" t="n">
        <v>180</v>
      </c>
      <c r="F130" s="0" t="n">
        <v>154</v>
      </c>
      <c r="G130" s="0" t="n">
        <v>142</v>
      </c>
      <c r="H130" s="0" t="n">
        <v>12</v>
      </c>
      <c r="I130" s="0" t="n">
        <v>5.2</v>
      </c>
    </row>
    <row r="131" customFormat="false" ht="15" hidden="false" customHeight="false" outlineLevel="0" collapsed="false">
      <c r="A131" s="3" t="s">
        <v>214</v>
      </c>
      <c r="B131" s="3" t="s">
        <v>202</v>
      </c>
      <c r="C131" s="3" t="s">
        <v>160</v>
      </c>
      <c r="D131" s="3" t="s">
        <v>87</v>
      </c>
      <c r="E131" s="0" t="n">
        <v>175</v>
      </c>
      <c r="F131" s="0" t="n">
        <v>150</v>
      </c>
      <c r="G131" s="0" t="n">
        <v>135</v>
      </c>
      <c r="H131" s="0" t="n">
        <v>15</v>
      </c>
      <c r="I131" s="0" t="n">
        <v>5.1</v>
      </c>
    </row>
    <row r="132" customFormat="false" ht="15" hidden="false" customHeight="false" outlineLevel="0" collapsed="false">
      <c r="A132" s="3" t="s">
        <v>215</v>
      </c>
      <c r="B132" s="3" t="s">
        <v>216</v>
      </c>
      <c r="C132" s="3" t="s">
        <v>160</v>
      </c>
      <c r="D132" s="3" t="s">
        <v>31</v>
      </c>
      <c r="E132" s="0" t="n">
        <v>233</v>
      </c>
      <c r="F132" s="0" t="n">
        <v>210</v>
      </c>
      <c r="G132" s="0" t="n">
        <v>186</v>
      </c>
      <c r="H132" s="0" t="n">
        <v>24</v>
      </c>
      <c r="I132" s="0" t="n">
        <v>5.6</v>
      </c>
    </row>
    <row r="133" customFormat="false" ht="15" hidden="false" customHeight="false" outlineLevel="0" collapsed="false">
      <c r="A133" s="3" t="s">
        <v>217</v>
      </c>
      <c r="B133" s="3" t="s">
        <v>216</v>
      </c>
      <c r="C133" s="3" t="s">
        <v>160</v>
      </c>
      <c r="D133" s="3" t="s">
        <v>65</v>
      </c>
      <c r="E133" s="0" t="n">
        <v>243</v>
      </c>
      <c r="F133" s="0" t="n">
        <v>222</v>
      </c>
      <c r="G133" s="0" t="n">
        <v>190</v>
      </c>
      <c r="H133" s="0" t="n">
        <v>32</v>
      </c>
      <c r="I133" s="0" t="n">
        <v>8.2</v>
      </c>
    </row>
    <row r="134" customFormat="false" ht="15" hidden="false" customHeight="false" outlineLevel="0" collapsed="false">
      <c r="A134" s="3" t="s">
        <v>218</v>
      </c>
      <c r="B134" s="3" t="s">
        <v>216</v>
      </c>
      <c r="C134" s="3" t="s">
        <v>160</v>
      </c>
      <c r="D134" s="3" t="s">
        <v>67</v>
      </c>
      <c r="E134" s="0" t="n">
        <v>242</v>
      </c>
      <c r="F134" s="0" t="n">
        <v>216</v>
      </c>
      <c r="G134" s="0" t="n">
        <v>190</v>
      </c>
      <c r="H134" s="0" t="n">
        <v>26</v>
      </c>
      <c r="I134" s="0" t="n">
        <v>7.7</v>
      </c>
    </row>
    <row r="135" customFormat="false" ht="15" hidden="false" customHeight="false" outlineLevel="0" collapsed="false">
      <c r="A135" s="3" t="s">
        <v>219</v>
      </c>
      <c r="B135" s="3" t="s">
        <v>216</v>
      </c>
      <c r="C135" s="3" t="s">
        <v>160</v>
      </c>
      <c r="D135" s="3" t="s">
        <v>69</v>
      </c>
      <c r="E135" s="0" t="n">
        <v>238</v>
      </c>
      <c r="F135" s="0" t="n">
        <v>223</v>
      </c>
      <c r="G135" s="0" t="n">
        <v>193</v>
      </c>
      <c r="H135" s="0" t="n">
        <v>30</v>
      </c>
      <c r="I135" s="0" t="n">
        <v>5.7</v>
      </c>
    </row>
    <row r="136" customFormat="false" ht="15" hidden="false" customHeight="false" outlineLevel="0" collapsed="false">
      <c r="A136" s="3" t="s">
        <v>220</v>
      </c>
      <c r="B136" s="3" t="s">
        <v>216</v>
      </c>
      <c r="C136" s="3" t="s">
        <v>160</v>
      </c>
      <c r="D136" s="3" t="s">
        <v>71</v>
      </c>
      <c r="E136" s="0" t="n">
        <v>199</v>
      </c>
      <c r="F136" s="0" t="n">
        <v>188</v>
      </c>
      <c r="G136" s="0" t="n">
        <v>161</v>
      </c>
      <c r="H136" s="0" t="n">
        <v>27</v>
      </c>
      <c r="I136" s="0" t="n">
        <v>6.1</v>
      </c>
    </row>
    <row r="137" customFormat="false" ht="15" hidden="false" customHeight="false" outlineLevel="0" collapsed="false">
      <c r="A137" s="3" t="s">
        <v>221</v>
      </c>
      <c r="B137" s="3" t="s">
        <v>216</v>
      </c>
      <c r="C137" s="3" t="s">
        <v>160</v>
      </c>
      <c r="D137" s="3" t="s">
        <v>73</v>
      </c>
      <c r="E137" s="0" t="n">
        <v>243</v>
      </c>
      <c r="F137" s="0" t="n">
        <v>220</v>
      </c>
      <c r="G137" s="0" t="n">
        <v>194</v>
      </c>
      <c r="H137" s="0" t="n">
        <v>26</v>
      </c>
      <c r="I137" s="0" t="n">
        <v>9.2</v>
      </c>
    </row>
    <row r="138" customFormat="false" ht="15" hidden="false" customHeight="false" outlineLevel="0" collapsed="false">
      <c r="A138" s="3" t="s">
        <v>222</v>
      </c>
      <c r="B138" s="3" t="s">
        <v>216</v>
      </c>
      <c r="C138" s="3" t="s">
        <v>160</v>
      </c>
      <c r="D138" s="3" t="s">
        <v>75</v>
      </c>
      <c r="E138" s="0" t="n">
        <v>246</v>
      </c>
      <c r="F138" s="0" t="n">
        <v>230</v>
      </c>
      <c r="G138" s="0" t="n">
        <v>200</v>
      </c>
      <c r="H138" s="0" t="n">
        <v>30</v>
      </c>
      <c r="I138" s="0" t="n">
        <v>7.3</v>
      </c>
    </row>
    <row r="139" customFormat="false" ht="15" hidden="false" customHeight="false" outlineLevel="0" collapsed="false">
      <c r="A139" s="3" t="s">
        <v>223</v>
      </c>
      <c r="B139" s="3" t="s">
        <v>216</v>
      </c>
      <c r="C139" s="3" t="s">
        <v>160</v>
      </c>
      <c r="D139" s="3" t="s">
        <v>77</v>
      </c>
      <c r="E139" s="0" t="n">
        <v>237</v>
      </c>
      <c r="F139" s="0" t="n">
        <v>217</v>
      </c>
      <c r="G139" s="0" t="n">
        <v>186</v>
      </c>
      <c r="H139" s="0" t="n">
        <v>31</v>
      </c>
      <c r="I139" s="0" t="n">
        <v>6.9</v>
      </c>
    </row>
    <row r="140" customFormat="false" ht="15" hidden="false" customHeight="false" outlineLevel="0" collapsed="false">
      <c r="A140" s="3" t="s">
        <v>224</v>
      </c>
      <c r="B140" s="3" t="s">
        <v>216</v>
      </c>
      <c r="C140" s="3" t="s">
        <v>160</v>
      </c>
      <c r="D140" s="3" t="s">
        <v>79</v>
      </c>
      <c r="E140" s="0" t="n">
        <v>246</v>
      </c>
      <c r="F140" s="0" t="n">
        <v>222</v>
      </c>
      <c r="G140" s="0" t="n">
        <v>190</v>
      </c>
      <c r="H140" s="0" t="n">
        <v>32</v>
      </c>
      <c r="I140" s="0" t="n">
        <v>6.7</v>
      </c>
    </row>
    <row r="141" customFormat="false" ht="15" hidden="false" customHeight="false" outlineLevel="0" collapsed="false">
      <c r="A141" s="3" t="s">
        <v>225</v>
      </c>
      <c r="B141" s="3" t="s">
        <v>216</v>
      </c>
      <c r="C141" s="3" t="s">
        <v>160</v>
      </c>
      <c r="D141" s="3" t="s">
        <v>81</v>
      </c>
      <c r="E141" s="0" t="n">
        <v>236</v>
      </c>
      <c r="F141" s="0" t="n">
        <v>212</v>
      </c>
      <c r="G141" s="0" t="n">
        <v>183</v>
      </c>
      <c r="H141" s="0" t="n">
        <v>29</v>
      </c>
      <c r="I141" s="0" t="n">
        <v>8.7</v>
      </c>
    </row>
    <row r="142" customFormat="false" ht="15" hidden="false" customHeight="false" outlineLevel="0" collapsed="false">
      <c r="A142" s="3" t="s">
        <v>226</v>
      </c>
      <c r="B142" s="3" t="s">
        <v>216</v>
      </c>
      <c r="C142" s="3" t="s">
        <v>160</v>
      </c>
      <c r="D142" s="3" t="s">
        <v>83</v>
      </c>
      <c r="E142" s="0" t="n">
        <v>236</v>
      </c>
      <c r="F142" s="0" t="n">
        <v>217</v>
      </c>
      <c r="G142" s="0" t="n">
        <v>189</v>
      </c>
      <c r="H142" s="0" t="n">
        <v>28</v>
      </c>
      <c r="I142" s="0" t="n">
        <v>6.1</v>
      </c>
    </row>
    <row r="143" customFormat="false" ht="15" hidden="false" customHeight="false" outlineLevel="0" collapsed="false">
      <c r="A143" s="3" t="s">
        <v>227</v>
      </c>
      <c r="B143" s="3" t="s">
        <v>216</v>
      </c>
      <c r="C143" s="3" t="s">
        <v>160</v>
      </c>
      <c r="D143" s="3" t="s">
        <v>85</v>
      </c>
      <c r="E143" s="0" t="n">
        <v>238</v>
      </c>
      <c r="F143" s="0" t="n">
        <v>215</v>
      </c>
      <c r="G143" s="0" t="n">
        <v>185</v>
      </c>
      <c r="H143" s="0" t="n">
        <v>30</v>
      </c>
      <c r="I143" s="0" t="n">
        <v>7.9</v>
      </c>
    </row>
    <row r="144" customFormat="false" ht="15" hidden="false" customHeight="false" outlineLevel="0" collapsed="false">
      <c r="A144" s="3" t="s">
        <v>228</v>
      </c>
      <c r="B144" s="3" t="s">
        <v>216</v>
      </c>
      <c r="C144" s="3" t="s">
        <v>160</v>
      </c>
      <c r="D144" s="3" t="s">
        <v>87</v>
      </c>
      <c r="E144" s="0" t="n">
        <v>246</v>
      </c>
      <c r="F144" s="0" t="n">
        <v>224</v>
      </c>
      <c r="G144" s="0" t="n">
        <v>197</v>
      </c>
      <c r="H144" s="0" t="n">
        <v>27</v>
      </c>
      <c r="I144" s="0" t="n">
        <v>6</v>
      </c>
    </row>
  </sheetData>
  <autoFilter ref="A1:I144"/>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2026-09-27T01:06:36Z</dcterms:created>
  <dc:creator>openpyxl</dc:creator>
  <dc:description/>
  <dc:language>en-US</dc:language>
  <cp:lastModifiedBy/>
  <dcterms:modified xsi:type="dcterms:W3CDTF">2026-09-27T01:06:36Z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