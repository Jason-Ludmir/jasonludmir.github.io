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workbook.xml" ContentType="application/vnd.openxmlformats-officedocument.spreadsheetml.sheet.main+xml"/>
  <Override PartName="/xl/tables/table1.xml" ContentType="application/vnd.openxmlformats-officedocument.spreadsheetml.tabl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1"/>
  </bookViews>
  <sheets>
    <sheet name="Read me" sheetId="1" state="visible" r:id="rId3"/>
    <sheet name="Summary" sheetId="2" state="visible" r:id="rId4"/>
    <sheet name="Dictionary" sheetId="3" state="visible" r:id="rId5"/>
    <sheet name="Data 1" sheetId="4" state="visible" r:id="rId6"/>
  </sheets>
  <definedNames>
    <definedName function="false" hidden="false" localSheetId="3" name="_xlnm.Print_Area" vbProcedure="false">'Data 1'!$A$1:$G$31</definedName>
    <definedName function="false" hidden="false" localSheetId="3" name="_xlnm.Print_Titles" vbProcedure="false">'Data 1'!$1:$1</definedName>
    <definedName function="false" hidden="true" localSheetId="3" name="_xlnm._FilterDatabase" vbProcedure="false">'Data 1'!$A$1:$G$46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<sst xmlns="http://schemas.openxmlformats.org/spreadsheetml/2006/main" count="274" uniqueCount="156">
  <si>
    <t xml:space="preserve">Project milestone snapshot</t>
  </si>
  <si>
    <t xml:space="preserve">Mesa Lantern Energy LLC</t>
  </si>
  <si>
    <t xml:space="preserve">Effective date</t>
  </si>
  <si>
    <t xml:space="preserve">2026-09-26</t>
  </si>
  <si>
    <t xml:space="preserve">Purpose</t>
  </si>
  <si>
    <t xml:space="preserve">A dated milestone view for the three modeled projects.</t>
  </si>
  <si>
    <t xml:space="preserve">Coverage</t>
  </si>
  <si>
    <t xml:space="preserve">See each dataset dictionary and summary. Missing numeric values are excluded, not zero.</t>
  </si>
  <si>
    <t xml:space="preserve">Summary interpretation</t>
  </si>
  <si>
    <t xml:space="preserve">Descriptive statistics of selected records only. Totals of percentages and adjustment values are not operating KPIs.</t>
  </si>
  <si>
    <t xml:space="preserve">Introduction</t>
  </si>
  <si>
    <t xml:space="preserve">A dated milestone view for the three modeled projects. This draft is prepared for capital reviewers as part of Mesa Lantern Energy's initial information handoff. It describes the modeled operation at the stated date and should be read with the period and coverage of its supporting records.</t>
  </si>
  <si>
    <t xml:space="preserve">Purpose and immediate use</t>
  </si>
  <si>
    <t xml:space="preserve">Project stage distinguishes proposal, approval, in-progress work, and completion. Compare planned and actual dates without filling a blank actual date from a target. Requested or approved budgets should not be mistaken for paid costs.</t>
  </si>
  <si>
    <t xml:space="preserve">Project authorization</t>
  </si>
  <si>
    <t xml:space="preserve">Projects and Development separates proposals from authorized work. The meter verification campaign is approved and in progress; the Sage Creek pad access improvement remains a proposal; the compressor overhaul is approved but has not started. Budget, schedule, owner, and approval date belong on milestones. A proposal may be evaluated, but its requested budget or target date is not evidence of expenditure or completion.</t>
  </si>
  <si>
    <t xml:space="preserve">Record question for review</t>
  </si>
  <si>
    <t xml:space="preserve">Place the Sage Creek proposed milestone beside the approved compressor overhaul milestone. A target date appears in both, but only one has approval. The actual date remains empty until the supported event occurs.</t>
  </si>
  <si>
    <t xml:space="preserve">Review action and handoff</t>
  </si>
  <si>
    <t xml:space="preserve">Use this snapshot with the issued status memorandum; if stages change, request a new dated version rather than altering the old one.</t>
  </si>
  <si>
    <t xml:space="preserve">Dataset</t>
  </si>
  <si>
    <t xml:space="preserve">Measure</t>
  </si>
  <si>
    <t xml:space="preserve">Unit</t>
  </si>
  <si>
    <t xml:space="preserve">Total</t>
  </si>
  <si>
    <t xml:space="preserve">Mean</t>
  </si>
  <si>
    <t xml:space="preserve">Records</t>
  </si>
  <si>
    <t xml:space="preserve">Period start</t>
  </si>
  <si>
    <t xml:space="preserve">Period end</t>
  </si>
  <si>
    <t xml:space="preserve">Project Milestones</t>
  </si>
  <si>
    <t xml:space="preserve">budget_usd</t>
  </si>
  <si>
    <t xml:space="preserve">USD</t>
  </si>
  <si>
    <t xml:space="preserve">2026-08-31</t>
  </si>
  <si>
    <t xml:space="preserve">percent_complete</t>
  </si>
  <si>
    <t xml:space="preserve">percent</t>
  </si>
  <si>
    <t xml:space="preserve">Field</t>
  </si>
  <si>
    <t xml:space="preserve">Definition</t>
  </si>
  <si>
    <t xml:space="preserve">Type</t>
  </si>
  <si>
    <t xml:space="preserve">Reference</t>
  </si>
  <si>
    <t xml:space="preserve">milestone_id</t>
  </si>
  <si>
    <t xml:space="preserve">Unique milestone</t>
  </si>
  <si>
    <t xml:space="preserve">id</t>
  </si>
  <si>
    <t xml:space="preserve">project_id</t>
  </si>
  <si>
    <t xml:space="preserve">Project</t>
  </si>
  <si>
    <t xml:space="preserve">entity_ref</t>
  </si>
  <si>
    <t xml:space="preserve">project</t>
  </si>
  <si>
    <t xml:space="preserve">planned_date</t>
  </si>
  <si>
    <t xml:space="preserve">Plan date</t>
  </si>
  <si>
    <t xml:space="preserve">date</t>
  </si>
  <si>
    <t xml:space="preserve">actual_date</t>
  </si>
  <si>
    <t xml:space="preserve">Actual date if complete</t>
  </si>
  <si>
    <t xml:space="preserve">stage</t>
  </si>
  <si>
    <t xml:space="preserve">Authorization stage</t>
  </si>
  <si>
    <t xml:space="preserve">category</t>
  </si>
  <si>
    <t xml:space="preserve">Approved or requested budget</t>
  </si>
  <si>
    <t xml:space="preserve">number</t>
  </si>
  <si>
    <t xml:space="preserve">Verified progress estimate</t>
  </si>
  <si>
    <t xml:space="preserve">project_milestones-000001</t>
  </si>
  <si>
    <t xml:space="preserve">Meter verification campaign</t>
  </si>
  <si>
    <t xml:space="preserve">2026-03-25</t>
  </si>
  <si>
    <t xml:space="preserve">in_progress</t>
  </si>
  <si>
    <t xml:space="preserve">project_milestones-000002</t>
  </si>
  <si>
    <t xml:space="preserve">Compressor overhaul</t>
  </si>
  <si>
    <t xml:space="preserve">2026-04-22</t>
  </si>
  <si>
    <t xml:space="preserve">project_milestones-000003</t>
  </si>
  <si>
    <t xml:space="preserve">2026-05-29</t>
  </si>
  <si>
    <t xml:space="preserve">project_milestones-000004</t>
  </si>
  <si>
    <t xml:space="preserve">Sage Creek pad access improvement</t>
  </si>
  <si>
    <t xml:space="preserve">2026-02-26</t>
  </si>
  <si>
    <t xml:space="preserve">2026-05-03</t>
  </si>
  <si>
    <t xml:space="preserve">complete</t>
  </si>
  <si>
    <t xml:space="preserve">project_milestones-000005</t>
  </si>
  <si>
    <t xml:space="preserve">2026-08-17</t>
  </si>
  <si>
    <t xml:space="preserve">project_milestones-000006</t>
  </si>
  <si>
    <t xml:space="preserve">2026-08-26</t>
  </si>
  <si>
    <t xml:space="preserve">2026-03-20</t>
  </si>
  <si>
    <t xml:space="preserve">project_milestones-000007</t>
  </si>
  <si>
    <t xml:space="preserve">2026-06-01</t>
  </si>
  <si>
    <t xml:space="preserve">approved</t>
  </si>
  <si>
    <t xml:space="preserve">project_milestones-000008</t>
  </si>
  <si>
    <t xml:space="preserve">project_milestones-000009</t>
  </si>
  <si>
    <t xml:space="preserve">2026-02-08</t>
  </si>
  <si>
    <t xml:space="preserve">project_milestones-000010</t>
  </si>
  <si>
    <t xml:space="preserve">2026-08-22</t>
  </si>
  <si>
    <t xml:space="preserve">project_milestones-000011</t>
  </si>
  <si>
    <t xml:space="preserve">2026-05-27</t>
  </si>
  <si>
    <t xml:space="preserve">project_milestones-000012</t>
  </si>
  <si>
    <t xml:space="preserve">2026-08-18</t>
  </si>
  <si>
    <t xml:space="preserve">2026-07-11</t>
  </si>
  <si>
    <t xml:space="preserve">project_milestones-000013</t>
  </si>
  <si>
    <t xml:space="preserve">2026-01-02</t>
  </si>
  <si>
    <t xml:space="preserve">project_milestones-000014</t>
  </si>
  <si>
    <t xml:space="preserve">2026-04-17</t>
  </si>
  <si>
    <t xml:space="preserve">2026-01-07</t>
  </si>
  <si>
    <t xml:space="preserve">project_milestones-000015</t>
  </si>
  <si>
    <t xml:space="preserve">2026-01-12</t>
  </si>
  <si>
    <t xml:space="preserve">proposed</t>
  </si>
  <si>
    <t xml:space="preserve">project_milestones-000016</t>
  </si>
  <si>
    <t xml:space="preserve">2026-01-11</t>
  </si>
  <si>
    <t xml:space="preserve">project_milestones-000017</t>
  </si>
  <si>
    <t xml:space="preserve">2026-05-01</t>
  </si>
  <si>
    <t xml:space="preserve">project_milestones-000018</t>
  </si>
  <si>
    <t xml:space="preserve">2026-07-07</t>
  </si>
  <si>
    <t xml:space="preserve">project_milestones-000019</t>
  </si>
  <si>
    <t xml:space="preserve">2026-07-16</t>
  </si>
  <si>
    <t xml:space="preserve">project_milestones-000020</t>
  </si>
  <si>
    <t xml:space="preserve">2026-05-10</t>
  </si>
  <si>
    <t xml:space="preserve">project_milestones-000021</t>
  </si>
  <si>
    <t xml:space="preserve">2026-01-09</t>
  </si>
  <si>
    <t xml:space="preserve">project_milestones-000022</t>
  </si>
  <si>
    <t xml:space="preserve">2026-04-19</t>
  </si>
  <si>
    <t xml:space="preserve">project_milestones-000023</t>
  </si>
  <si>
    <t xml:space="preserve">2026-05-16</t>
  </si>
  <si>
    <t xml:space="preserve">2026-07-22</t>
  </si>
  <si>
    <t xml:space="preserve">project_milestones-000024</t>
  </si>
  <si>
    <t xml:space="preserve">2026-04-11</t>
  </si>
  <si>
    <t xml:space="preserve">project_milestones-000025</t>
  </si>
  <si>
    <t xml:space="preserve">project_milestones-000026</t>
  </si>
  <si>
    <t xml:space="preserve">2026-07-27</t>
  </si>
  <si>
    <t xml:space="preserve">project_milestones-000027</t>
  </si>
  <si>
    <t xml:space="preserve">2026-07-24</t>
  </si>
  <si>
    <t xml:space="preserve">project_milestones-000028</t>
  </si>
  <si>
    <t xml:space="preserve">2026-06-28</t>
  </si>
  <si>
    <t xml:space="preserve">project_milestones-000029</t>
  </si>
  <si>
    <t xml:space="preserve">2026-07-30</t>
  </si>
  <si>
    <t xml:space="preserve">project_milestones-000030</t>
  </si>
  <si>
    <t xml:space="preserve">2026-01-26</t>
  </si>
  <si>
    <t xml:space="preserve">project_milestones-000031</t>
  </si>
  <si>
    <t xml:space="preserve">2026-04-26</t>
  </si>
  <si>
    <t xml:space="preserve">project_milestones-000032</t>
  </si>
  <si>
    <t xml:space="preserve">2026-05-07</t>
  </si>
  <si>
    <t xml:space="preserve">project_milestones-000033</t>
  </si>
  <si>
    <t xml:space="preserve">2026-03-03</t>
  </si>
  <si>
    <t xml:space="preserve">project_milestones-000034</t>
  </si>
  <si>
    <t xml:space="preserve">2026-01-22</t>
  </si>
  <si>
    <t xml:space="preserve">project_milestones-000035</t>
  </si>
  <si>
    <t xml:space="preserve">2026-05-23</t>
  </si>
  <si>
    <t xml:space="preserve">project_milestones-000036</t>
  </si>
  <si>
    <t xml:space="preserve">2026-07-12</t>
  </si>
  <si>
    <t xml:space="preserve">2026-06-26</t>
  </si>
  <si>
    <t xml:space="preserve">project_milestones-000037</t>
  </si>
  <si>
    <t xml:space="preserve">2026-01-04</t>
  </si>
  <si>
    <t xml:space="preserve">2026-03-27</t>
  </si>
  <si>
    <t xml:space="preserve">project_milestones-000038</t>
  </si>
  <si>
    <t xml:space="preserve">2026-06-27</t>
  </si>
  <si>
    <t xml:space="preserve">project_milestones-000039</t>
  </si>
  <si>
    <t xml:space="preserve">project_milestones-000040</t>
  </si>
  <si>
    <t xml:space="preserve">2026-04-15</t>
  </si>
  <si>
    <t xml:space="preserve">2026-03-17</t>
  </si>
  <si>
    <t xml:space="preserve">project_milestones-000041</t>
  </si>
  <si>
    <t xml:space="preserve">2026-02-25</t>
  </si>
  <si>
    <t xml:space="preserve">project_milestones-000042</t>
  </si>
  <si>
    <t xml:space="preserve">2026-02-03</t>
  </si>
  <si>
    <t xml:space="preserve">project_milestones-000043</t>
  </si>
  <si>
    <t xml:space="preserve">2026-04-02</t>
  </si>
  <si>
    <t xml:space="preserve">project_milestones-000044</t>
  </si>
  <si>
    <t xml:space="preserve">project_milestones-000045</t>
  </si>
</sst>
</file>

<file path=xl/styles.xml><?xml version="1.0" encoding="utf-8"?>
<styleSheet xmlns="http://schemas.openxmlformats.org/spreadsheetml/2006/main">
  <numFmts count="2">
    <numFmt numFmtId="164" formatCode="General"/>
    <numFmt numFmtId="165" formatCode="#,##0.00"/>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284E63"/>
        <bgColor rgb="FF3333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284E63"/>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4" type="wholeTable"/>
      <tableStyleElement dxfId="5" type="firstColumnStripe"/>
      <tableStyleElement dxfId="6" type="firstRowStripe"/>
      <tableStyleElement dxfId="7" type="lastColumn"/>
      <tableStyleElement dxfId="8" type="firstColumn"/>
      <tableStyleElement dxfId="9" type="headerRow"/>
      <tableStyleElement dxfId="10" type="totalRow"/>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333399"/>
      <rgbColor rgb="FF284E6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Extract1" displayName="Extract1" ref="A1:G46" headerRowCount="1" totalsRowCount="0" totalsRowShown="0">
  <autoFilter ref="A1:G46"/>
  <tableColumns count="7">
    <tableColumn id="1" name="milestone_id"/>
    <tableColumn id="2" name="project_id"/>
    <tableColumn id="3" name="planned_date"/>
    <tableColumn id="4" name="actual_date"/>
    <tableColumn id="5" name="stage"/>
    <tableColumn id="6" name="budget_usd"/>
    <tableColumn id="7" name="percent_complete"/>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95"/>
  </cols>
  <sheetData>
    <row r="1" customFormat="false" ht="26.85" hidden="false" customHeight="false" outlineLevel="0" collapsed="false">
      <c r="A1" s="1" t="s">
        <v>0</v>
      </c>
      <c r="B1" s="2"/>
    </row>
    <row r="2" customFormat="false" ht="31.5" hidden="false" customHeight="true" outlineLevel="0" collapsed="false">
      <c r="A2" s="3" t="s">
        <v>1</v>
      </c>
    </row>
    <row r="3" customFormat="false" ht="31.5" hidden="false" customHeight="true" outlineLevel="0" collapsed="false">
      <c r="A3" s="3" t="s">
        <v>2</v>
      </c>
      <c r="B3" s="3" t="s">
        <v>3</v>
      </c>
    </row>
    <row r="4" customFormat="false" ht="31.5" hidden="false" customHeight="true" outlineLevel="0" collapsed="false">
      <c r="A4" s="3" t="s">
        <v>4</v>
      </c>
      <c r="B4" s="3" t="s">
        <v>5</v>
      </c>
    </row>
    <row r="5" customFormat="false" ht="31.5" hidden="false" customHeight="true" outlineLevel="0" collapsed="false">
      <c r="A5" s="3" t="s">
        <v>6</v>
      </c>
      <c r="B5" s="3" t="s">
        <v>7</v>
      </c>
    </row>
    <row r="6" customFormat="false" ht="31.5" hidden="false" customHeight="true" outlineLevel="0" collapsed="false">
      <c r="A6" s="3" t="s">
        <v>8</v>
      </c>
      <c r="B6" s="3" t="s">
        <v>9</v>
      </c>
    </row>
    <row r="7" customFormat="false" ht="60" hidden="false" customHeight="true" outlineLevel="0" collapsed="false">
      <c r="A7" s="3" t="s">
        <v>10</v>
      </c>
      <c r="B7" s="3" t="s">
        <v>11</v>
      </c>
    </row>
    <row r="8" customFormat="false" ht="45" hidden="false" customHeight="true" outlineLevel="0" collapsed="false">
      <c r="A8" s="3" t="s">
        <v>12</v>
      </c>
      <c r="B8" s="3" t="s">
        <v>13</v>
      </c>
    </row>
    <row r="9" customFormat="false" ht="75" hidden="false" customHeight="true" outlineLevel="0" collapsed="false">
      <c r="A9" s="3" t="s">
        <v>14</v>
      </c>
      <c r="B9" s="3" t="s">
        <v>15</v>
      </c>
    </row>
    <row r="10" customFormat="false" ht="45" hidden="false" customHeight="true" outlineLevel="0" collapsed="false">
      <c r="A10" s="3" t="s">
        <v>16</v>
      </c>
      <c r="B10" s="3" t="s">
        <v>17</v>
      </c>
    </row>
    <row r="11" customFormat="false" ht="31.5" hidden="false" customHeight="true" outlineLevel="0" collapsed="false">
      <c r="A11" s="3" t="s">
        <v>18</v>
      </c>
      <c r="B11" s="3" t="s">
        <v>19</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8" min="1" style="0" width="25"/>
  </cols>
  <sheetData>
    <row r="1" customFormat="false" ht="15" hidden="false" customHeight="false" outlineLevel="0" collapsed="false">
      <c r="A1" s="1" t="s">
        <v>20</v>
      </c>
      <c r="B1" s="1" t="s">
        <v>21</v>
      </c>
      <c r="C1" s="1" t="s">
        <v>22</v>
      </c>
      <c r="D1" s="1" t="s">
        <v>23</v>
      </c>
      <c r="E1" s="1" t="s">
        <v>24</v>
      </c>
      <c r="F1" s="1" t="s">
        <v>25</v>
      </c>
      <c r="G1" s="1" t="s">
        <v>26</v>
      </c>
      <c r="H1" s="1" t="s">
        <v>27</v>
      </c>
    </row>
    <row r="2" customFormat="false" ht="45" hidden="false" customHeight="true" outlineLevel="0" collapsed="false">
      <c r="A2" s="3" t="s">
        <v>28</v>
      </c>
      <c r="B2" s="3" t="s">
        <v>29</v>
      </c>
      <c r="C2" s="3" t="s">
        <v>30</v>
      </c>
      <c r="D2" s="4" t="n">
        <f aca="false">SUM('Data 1'!F2:F46)</f>
        <v>107876511.86</v>
      </c>
      <c r="E2" s="4" t="n">
        <f aca="false">IF(COUNT('Data 1'!F2:F46)=0,0,AVERAGE('Data 1'!F2:F46))</f>
        <v>2397255.81911111</v>
      </c>
      <c r="F2" s="0" t="n">
        <f aca="false">COUNT('Data 1'!F2:F46)</f>
        <v>45</v>
      </c>
      <c r="G2" s="3" t="s">
        <v>31</v>
      </c>
      <c r="H2" s="3" t="s">
        <v>31</v>
      </c>
    </row>
    <row r="3" customFormat="false" ht="45" hidden="false" customHeight="true" outlineLevel="0" collapsed="false">
      <c r="A3" s="3" t="s">
        <v>28</v>
      </c>
      <c r="B3" s="3" t="s">
        <v>32</v>
      </c>
      <c r="C3" s="3" t="s">
        <v>33</v>
      </c>
      <c r="D3" s="4" t="n">
        <f aca="false">SUM('Data 1'!G2:G46)</f>
        <v>2540.74</v>
      </c>
      <c r="E3" s="4" t="n">
        <f aca="false">IF(COUNT('Data 1'!G2:G46)=0,0,AVERAGE('Data 1'!G2:G46))</f>
        <v>56.4608888888889</v>
      </c>
      <c r="F3" s="0" t="n">
        <f aca="false">COUNT('Data 1'!G2:G46)</f>
        <v>45</v>
      </c>
      <c r="G3" s="3" t="s">
        <v>31</v>
      </c>
      <c r="H3" s="3" t="s">
        <v>31</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6" min="1" style="0" width="25"/>
  </cols>
  <sheetData>
    <row r="1" customFormat="false" ht="15" hidden="false" customHeight="false" outlineLevel="0" collapsed="false">
      <c r="A1" s="1" t="s">
        <v>20</v>
      </c>
      <c r="B1" s="1" t="s">
        <v>34</v>
      </c>
      <c r="C1" s="1" t="s">
        <v>35</v>
      </c>
      <c r="D1" s="1" t="s">
        <v>22</v>
      </c>
      <c r="E1" s="1" t="s">
        <v>36</v>
      </c>
      <c r="F1" s="1" t="s">
        <v>37</v>
      </c>
    </row>
    <row r="2" customFormat="false" ht="31.5" hidden="false" customHeight="true" outlineLevel="0" collapsed="false">
      <c r="A2" s="3" t="s">
        <v>28</v>
      </c>
      <c r="B2" s="3" t="s">
        <v>38</v>
      </c>
      <c r="C2" s="3" t="s">
        <v>39</v>
      </c>
      <c r="D2" s="3"/>
      <c r="E2" s="3" t="s">
        <v>40</v>
      </c>
      <c r="F2" s="3"/>
    </row>
    <row r="3" customFormat="false" ht="31.5" hidden="false" customHeight="true" outlineLevel="0" collapsed="false">
      <c r="A3" s="3" t="s">
        <v>28</v>
      </c>
      <c r="B3" s="3" t="s">
        <v>41</v>
      </c>
      <c r="C3" s="3" t="s">
        <v>42</v>
      </c>
      <c r="D3" s="3"/>
      <c r="E3" s="3" t="s">
        <v>43</v>
      </c>
      <c r="F3" s="3" t="s">
        <v>44</v>
      </c>
    </row>
    <row r="4" customFormat="false" ht="31.5" hidden="false" customHeight="true" outlineLevel="0" collapsed="false">
      <c r="A4" s="3" t="s">
        <v>28</v>
      </c>
      <c r="B4" s="3" t="s">
        <v>45</v>
      </c>
      <c r="C4" s="3" t="s">
        <v>46</v>
      </c>
      <c r="D4" s="3"/>
      <c r="E4" s="3" t="s">
        <v>47</v>
      </c>
      <c r="F4" s="3"/>
    </row>
    <row r="5" customFormat="false" ht="31.5" hidden="false" customHeight="true" outlineLevel="0" collapsed="false">
      <c r="A5" s="3" t="s">
        <v>28</v>
      </c>
      <c r="B5" s="3" t="s">
        <v>48</v>
      </c>
      <c r="C5" s="3" t="s">
        <v>49</v>
      </c>
      <c r="D5" s="3"/>
      <c r="E5" s="3" t="s">
        <v>47</v>
      </c>
      <c r="F5" s="3"/>
    </row>
    <row r="6" customFormat="false" ht="31.5" hidden="false" customHeight="true" outlineLevel="0" collapsed="false">
      <c r="A6" s="3" t="s">
        <v>28</v>
      </c>
      <c r="B6" s="3" t="s">
        <v>50</v>
      </c>
      <c r="C6" s="3" t="s">
        <v>51</v>
      </c>
      <c r="D6" s="3"/>
      <c r="E6" s="3" t="s">
        <v>52</v>
      </c>
      <c r="F6" s="3"/>
    </row>
    <row r="7" customFormat="false" ht="31.5" hidden="false" customHeight="true" outlineLevel="0" collapsed="false">
      <c r="A7" s="3" t="s">
        <v>28</v>
      </c>
      <c r="B7" s="3" t="s">
        <v>29</v>
      </c>
      <c r="C7" s="3" t="s">
        <v>53</v>
      </c>
      <c r="D7" s="3" t="s">
        <v>30</v>
      </c>
      <c r="E7" s="3" t="s">
        <v>54</v>
      </c>
      <c r="F7" s="3"/>
    </row>
    <row r="8" customFormat="false" ht="31.5" hidden="false" customHeight="true" outlineLevel="0" collapsed="false">
      <c r="A8" s="3" t="s">
        <v>28</v>
      </c>
      <c r="B8" s="3" t="s">
        <v>32</v>
      </c>
      <c r="C8" s="3" t="s">
        <v>55</v>
      </c>
      <c r="D8" s="3" t="s">
        <v>33</v>
      </c>
      <c r="E8" s="3" t="s">
        <v>54</v>
      </c>
      <c r="F8" s="3"/>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7" min="1" style="0" width="25"/>
  </cols>
  <sheetData>
    <row r="1" customFormat="false" ht="15" hidden="false" customHeight="false" outlineLevel="0" collapsed="false">
      <c r="A1" s="1" t="s">
        <v>38</v>
      </c>
      <c r="B1" s="1" t="s">
        <v>41</v>
      </c>
      <c r="C1" s="1" t="s">
        <v>45</v>
      </c>
      <c r="D1" s="1" t="s">
        <v>48</v>
      </c>
      <c r="E1" s="1" t="s">
        <v>50</v>
      </c>
      <c r="F1" s="1" t="s">
        <v>29</v>
      </c>
      <c r="G1" s="1" t="s">
        <v>32</v>
      </c>
    </row>
    <row r="2" customFormat="false" ht="15" hidden="false" customHeight="false" outlineLevel="0" collapsed="false">
      <c r="A2" s="3" t="s">
        <v>56</v>
      </c>
      <c r="B2" s="3" t="s">
        <v>57</v>
      </c>
      <c r="C2" s="3" t="s">
        <v>58</v>
      </c>
      <c r="E2" s="3" t="s">
        <v>59</v>
      </c>
      <c r="F2" s="0" t="n">
        <v>1750653.53</v>
      </c>
      <c r="G2" s="0" t="n">
        <v>51.23</v>
      </c>
    </row>
    <row r="3" customFormat="false" ht="15" hidden="false" customHeight="false" outlineLevel="0" collapsed="false">
      <c r="A3" s="3" t="s">
        <v>60</v>
      </c>
      <c r="B3" s="3" t="s">
        <v>61</v>
      </c>
      <c r="C3" s="3" t="s">
        <v>62</v>
      </c>
      <c r="E3" s="3" t="s">
        <v>59</v>
      </c>
      <c r="F3" s="0" t="n">
        <v>1383234.99</v>
      </c>
      <c r="G3" s="0" t="n">
        <v>57.21</v>
      </c>
    </row>
    <row r="4" customFormat="false" ht="15" hidden="false" customHeight="false" outlineLevel="0" collapsed="false">
      <c r="A4" s="3" t="s">
        <v>63</v>
      </c>
      <c r="B4" s="3" t="s">
        <v>57</v>
      </c>
      <c r="C4" s="3" t="s">
        <v>64</v>
      </c>
      <c r="E4" s="3" t="s">
        <v>59</v>
      </c>
      <c r="F4" s="0" t="n">
        <v>3617160.98</v>
      </c>
      <c r="G4" s="0" t="n">
        <v>19.78</v>
      </c>
    </row>
    <row r="5" customFormat="false" ht="23.85" hidden="false" customHeight="false" outlineLevel="0" collapsed="false">
      <c r="A5" s="3" t="s">
        <v>65</v>
      </c>
      <c r="B5" s="3" t="s">
        <v>66</v>
      </c>
      <c r="C5" s="3" t="s">
        <v>67</v>
      </c>
      <c r="D5" s="3" t="s">
        <v>68</v>
      </c>
      <c r="E5" s="3" t="s">
        <v>69</v>
      </c>
      <c r="F5" s="0" t="n">
        <v>3429041.71</v>
      </c>
      <c r="G5" s="0" t="n">
        <v>100</v>
      </c>
    </row>
    <row r="6" customFormat="false" ht="23.85" hidden="false" customHeight="false" outlineLevel="0" collapsed="false">
      <c r="A6" s="3" t="s">
        <v>70</v>
      </c>
      <c r="B6" s="3" t="s">
        <v>66</v>
      </c>
      <c r="C6" s="3" t="s">
        <v>71</v>
      </c>
      <c r="E6" s="3" t="s">
        <v>59</v>
      </c>
      <c r="F6" s="0" t="n">
        <v>4322407.49</v>
      </c>
      <c r="G6" s="0" t="n">
        <v>93.97</v>
      </c>
    </row>
    <row r="7" customFormat="false" ht="15" hidden="false" customHeight="false" outlineLevel="0" collapsed="false">
      <c r="A7" s="3" t="s">
        <v>72</v>
      </c>
      <c r="B7" s="3" t="s">
        <v>61</v>
      </c>
      <c r="C7" s="3" t="s">
        <v>73</v>
      </c>
      <c r="D7" s="3" t="s">
        <v>74</v>
      </c>
      <c r="E7" s="3" t="s">
        <v>69</v>
      </c>
      <c r="F7" s="0" t="n">
        <v>607919.42</v>
      </c>
      <c r="G7" s="0" t="n">
        <v>100</v>
      </c>
    </row>
    <row r="8" customFormat="false" ht="15" hidden="false" customHeight="false" outlineLevel="0" collapsed="false">
      <c r="A8" s="3" t="s">
        <v>75</v>
      </c>
      <c r="B8" s="3" t="s">
        <v>61</v>
      </c>
      <c r="C8" s="3" t="s">
        <v>76</v>
      </c>
      <c r="E8" s="3" t="s">
        <v>77</v>
      </c>
      <c r="F8" s="0" t="n">
        <v>2065216.88</v>
      </c>
      <c r="G8" s="0" t="n">
        <v>0.83</v>
      </c>
    </row>
    <row r="9" customFormat="false" ht="15" hidden="false" customHeight="false" outlineLevel="0" collapsed="false">
      <c r="A9" s="3" t="s">
        <v>78</v>
      </c>
      <c r="B9" s="3" t="s">
        <v>57</v>
      </c>
      <c r="C9" s="3" t="s">
        <v>31</v>
      </c>
      <c r="E9" s="3" t="s">
        <v>77</v>
      </c>
      <c r="F9" s="0" t="n">
        <v>3078424.58</v>
      </c>
      <c r="G9" s="0" t="n">
        <v>27.05</v>
      </c>
    </row>
    <row r="10" customFormat="false" ht="15" hidden="false" customHeight="false" outlineLevel="0" collapsed="false">
      <c r="A10" s="3" t="s">
        <v>79</v>
      </c>
      <c r="B10" s="3" t="s">
        <v>57</v>
      </c>
      <c r="C10" s="3" t="s">
        <v>80</v>
      </c>
      <c r="E10" s="3" t="s">
        <v>77</v>
      </c>
      <c r="F10" s="0" t="n">
        <v>2338028.81</v>
      </c>
      <c r="G10" s="0" t="n">
        <v>77.23</v>
      </c>
    </row>
    <row r="11" customFormat="false" ht="15" hidden="false" customHeight="false" outlineLevel="0" collapsed="false">
      <c r="A11" s="3" t="s">
        <v>81</v>
      </c>
      <c r="B11" s="3" t="s">
        <v>61</v>
      </c>
      <c r="C11" s="3" t="s">
        <v>82</v>
      </c>
      <c r="E11" s="3" t="s">
        <v>59</v>
      </c>
      <c r="F11" s="0" t="n">
        <v>1122486.08</v>
      </c>
      <c r="G11" s="0" t="n">
        <v>81.5</v>
      </c>
    </row>
    <row r="12" customFormat="false" ht="15" hidden="false" customHeight="false" outlineLevel="0" collapsed="false">
      <c r="A12" s="3" t="s">
        <v>83</v>
      </c>
      <c r="B12" s="3" t="s">
        <v>61</v>
      </c>
      <c r="C12" s="3" t="s">
        <v>84</v>
      </c>
      <c r="E12" s="3" t="s">
        <v>77</v>
      </c>
      <c r="F12" s="0" t="n">
        <v>214132.12</v>
      </c>
      <c r="G12" s="0" t="n">
        <v>20.1</v>
      </c>
    </row>
    <row r="13" customFormat="false" ht="15" hidden="false" customHeight="false" outlineLevel="0" collapsed="false">
      <c r="A13" s="3" t="s">
        <v>85</v>
      </c>
      <c r="B13" s="3" t="s">
        <v>57</v>
      </c>
      <c r="C13" s="3" t="s">
        <v>86</v>
      </c>
      <c r="D13" s="3" t="s">
        <v>87</v>
      </c>
      <c r="E13" s="3" t="s">
        <v>69</v>
      </c>
      <c r="F13" s="0" t="n">
        <v>4695777.41</v>
      </c>
      <c r="G13" s="0" t="n">
        <v>100</v>
      </c>
    </row>
    <row r="14" customFormat="false" ht="15" hidden="false" customHeight="false" outlineLevel="0" collapsed="false">
      <c r="A14" s="3" t="s">
        <v>88</v>
      </c>
      <c r="B14" s="3" t="s">
        <v>61</v>
      </c>
      <c r="C14" s="3" t="s">
        <v>89</v>
      </c>
      <c r="E14" s="3" t="s">
        <v>77</v>
      </c>
      <c r="F14" s="0" t="n">
        <v>666660.97</v>
      </c>
      <c r="G14" s="0" t="n">
        <v>35.03</v>
      </c>
    </row>
    <row r="15" customFormat="false" ht="15" hidden="false" customHeight="false" outlineLevel="0" collapsed="false">
      <c r="A15" s="3" t="s">
        <v>90</v>
      </c>
      <c r="B15" s="3" t="s">
        <v>61</v>
      </c>
      <c r="C15" s="3" t="s">
        <v>91</v>
      </c>
      <c r="D15" s="3" t="s">
        <v>92</v>
      </c>
      <c r="E15" s="3" t="s">
        <v>69</v>
      </c>
      <c r="F15" s="0" t="n">
        <v>1922792.48</v>
      </c>
      <c r="G15" s="0" t="n">
        <v>100</v>
      </c>
    </row>
    <row r="16" customFormat="false" ht="15" hidden="false" customHeight="false" outlineLevel="0" collapsed="false">
      <c r="A16" s="3" t="s">
        <v>93</v>
      </c>
      <c r="B16" s="3" t="s">
        <v>57</v>
      </c>
      <c r="C16" s="3" t="s">
        <v>94</v>
      </c>
      <c r="E16" s="3" t="s">
        <v>95</v>
      </c>
      <c r="F16" s="0" t="n">
        <v>3893162.87</v>
      </c>
      <c r="G16" s="0" t="n">
        <v>0</v>
      </c>
    </row>
    <row r="17" customFormat="false" ht="23.85" hidden="false" customHeight="false" outlineLevel="0" collapsed="false">
      <c r="A17" s="3" t="s">
        <v>96</v>
      </c>
      <c r="B17" s="3" t="s">
        <v>66</v>
      </c>
      <c r="C17" s="3" t="s">
        <v>97</v>
      </c>
      <c r="E17" s="3" t="s">
        <v>95</v>
      </c>
      <c r="F17" s="0" t="n">
        <v>1172995.03</v>
      </c>
      <c r="G17" s="0" t="n">
        <v>0</v>
      </c>
    </row>
    <row r="18" customFormat="false" ht="15" hidden="false" customHeight="false" outlineLevel="0" collapsed="false">
      <c r="A18" s="3" t="s">
        <v>98</v>
      </c>
      <c r="B18" s="3" t="s">
        <v>57</v>
      </c>
      <c r="C18" s="3" t="s">
        <v>99</v>
      </c>
      <c r="E18" s="3" t="s">
        <v>95</v>
      </c>
      <c r="F18" s="0" t="n">
        <v>3696774.99</v>
      </c>
      <c r="G18" s="0" t="n">
        <v>0</v>
      </c>
    </row>
    <row r="19" customFormat="false" ht="15" hidden="false" customHeight="false" outlineLevel="0" collapsed="false">
      <c r="A19" s="3" t="s">
        <v>100</v>
      </c>
      <c r="B19" s="3" t="s">
        <v>57</v>
      </c>
      <c r="C19" s="3" t="s">
        <v>101</v>
      </c>
      <c r="E19" s="3" t="s">
        <v>59</v>
      </c>
      <c r="F19" s="0" t="n">
        <v>3790114.06</v>
      </c>
      <c r="G19" s="0" t="n">
        <v>85.3</v>
      </c>
    </row>
    <row r="20" customFormat="false" ht="23.85" hidden="false" customHeight="false" outlineLevel="0" collapsed="false">
      <c r="A20" s="3" t="s">
        <v>102</v>
      </c>
      <c r="B20" s="3" t="s">
        <v>66</v>
      </c>
      <c r="C20" s="3" t="s">
        <v>103</v>
      </c>
      <c r="E20" s="3" t="s">
        <v>59</v>
      </c>
      <c r="F20" s="0" t="n">
        <v>3065527.01</v>
      </c>
      <c r="G20" s="0" t="n">
        <v>63.22</v>
      </c>
    </row>
    <row r="21" customFormat="false" ht="15" hidden="false" customHeight="false" outlineLevel="0" collapsed="false">
      <c r="A21" s="3" t="s">
        <v>104</v>
      </c>
      <c r="B21" s="3" t="s">
        <v>61</v>
      </c>
      <c r="C21" s="3" t="s">
        <v>105</v>
      </c>
      <c r="E21" s="3" t="s">
        <v>59</v>
      </c>
      <c r="F21" s="0" t="n">
        <v>2332607.9</v>
      </c>
      <c r="G21" s="0" t="n">
        <v>81.3</v>
      </c>
    </row>
    <row r="22" customFormat="false" ht="23.85" hidden="false" customHeight="false" outlineLevel="0" collapsed="false">
      <c r="A22" s="3" t="s">
        <v>106</v>
      </c>
      <c r="B22" s="3" t="s">
        <v>66</v>
      </c>
      <c r="C22" s="3" t="s">
        <v>107</v>
      </c>
      <c r="E22" s="3" t="s">
        <v>77</v>
      </c>
      <c r="F22" s="0" t="n">
        <v>2478107.02</v>
      </c>
      <c r="G22" s="0" t="n">
        <v>32.62</v>
      </c>
    </row>
    <row r="23" customFormat="false" ht="15" hidden="false" customHeight="false" outlineLevel="0" collapsed="false">
      <c r="A23" s="3" t="s">
        <v>108</v>
      </c>
      <c r="B23" s="3" t="s">
        <v>61</v>
      </c>
      <c r="C23" s="3" t="s">
        <v>109</v>
      </c>
      <c r="E23" s="3" t="s">
        <v>77</v>
      </c>
      <c r="F23" s="0" t="n">
        <v>3300677.58</v>
      </c>
      <c r="G23" s="0" t="n">
        <v>78.41</v>
      </c>
    </row>
    <row r="24" customFormat="false" ht="23.85" hidden="false" customHeight="false" outlineLevel="0" collapsed="false">
      <c r="A24" s="3" t="s">
        <v>110</v>
      </c>
      <c r="B24" s="3" t="s">
        <v>66</v>
      </c>
      <c r="C24" s="3" t="s">
        <v>111</v>
      </c>
      <c r="D24" s="3" t="s">
        <v>112</v>
      </c>
      <c r="E24" s="3" t="s">
        <v>69</v>
      </c>
      <c r="F24" s="0" t="n">
        <v>1798451.9</v>
      </c>
      <c r="G24" s="0" t="n">
        <v>100</v>
      </c>
    </row>
    <row r="25" customFormat="false" ht="15" hidden="false" customHeight="false" outlineLevel="0" collapsed="false">
      <c r="A25" s="3" t="s">
        <v>113</v>
      </c>
      <c r="B25" s="3" t="s">
        <v>61</v>
      </c>
      <c r="C25" s="3" t="s">
        <v>114</v>
      </c>
      <c r="E25" s="3" t="s">
        <v>77</v>
      </c>
      <c r="F25" s="0" t="n">
        <v>3715120.58</v>
      </c>
      <c r="G25" s="0" t="n">
        <v>51.04</v>
      </c>
    </row>
    <row r="26" customFormat="false" ht="15" hidden="false" customHeight="false" outlineLevel="0" collapsed="false">
      <c r="A26" s="3" t="s">
        <v>115</v>
      </c>
      <c r="B26" s="3" t="s">
        <v>61</v>
      </c>
      <c r="C26" s="3" t="s">
        <v>68</v>
      </c>
      <c r="E26" s="3" t="s">
        <v>77</v>
      </c>
      <c r="F26" s="0" t="n">
        <v>4643081.89</v>
      </c>
      <c r="G26" s="0" t="n">
        <v>55.73</v>
      </c>
    </row>
    <row r="27" customFormat="false" ht="23.85" hidden="false" customHeight="false" outlineLevel="0" collapsed="false">
      <c r="A27" s="3" t="s">
        <v>116</v>
      </c>
      <c r="B27" s="3" t="s">
        <v>66</v>
      </c>
      <c r="C27" s="3" t="s">
        <v>117</v>
      </c>
      <c r="E27" s="3" t="s">
        <v>77</v>
      </c>
      <c r="F27" s="0" t="n">
        <v>4106264.19</v>
      </c>
      <c r="G27" s="0" t="n">
        <v>68.19</v>
      </c>
    </row>
    <row r="28" customFormat="false" ht="15" hidden="false" customHeight="false" outlineLevel="0" collapsed="false">
      <c r="A28" s="3" t="s">
        <v>118</v>
      </c>
      <c r="B28" s="3" t="s">
        <v>61</v>
      </c>
      <c r="C28" s="3" t="s">
        <v>119</v>
      </c>
      <c r="E28" s="3" t="s">
        <v>95</v>
      </c>
      <c r="F28" s="0" t="n">
        <v>3567927.77</v>
      </c>
      <c r="G28" s="0" t="n">
        <v>0</v>
      </c>
    </row>
    <row r="29" customFormat="false" ht="23.85" hidden="false" customHeight="false" outlineLevel="0" collapsed="false">
      <c r="A29" s="3" t="s">
        <v>120</v>
      </c>
      <c r="B29" s="3" t="s">
        <v>66</v>
      </c>
      <c r="C29" s="3" t="s">
        <v>121</v>
      </c>
      <c r="E29" s="3" t="s">
        <v>95</v>
      </c>
      <c r="F29" s="0" t="n">
        <v>1380854.64</v>
      </c>
      <c r="G29" s="0" t="n">
        <v>0</v>
      </c>
    </row>
    <row r="30" customFormat="false" ht="15" hidden="false" customHeight="false" outlineLevel="0" collapsed="false">
      <c r="A30" s="3" t="s">
        <v>122</v>
      </c>
      <c r="B30" s="3" t="s">
        <v>57</v>
      </c>
      <c r="C30" s="3" t="s">
        <v>123</v>
      </c>
      <c r="E30" s="3" t="s">
        <v>77</v>
      </c>
      <c r="F30" s="0" t="n">
        <v>1181372.78</v>
      </c>
      <c r="G30" s="0" t="n">
        <v>97.3</v>
      </c>
    </row>
    <row r="31" customFormat="false" ht="15" hidden="false" customHeight="false" outlineLevel="0" collapsed="false">
      <c r="A31" s="3" t="s">
        <v>124</v>
      </c>
      <c r="B31" s="3" t="s">
        <v>57</v>
      </c>
      <c r="C31" s="3" t="s">
        <v>125</v>
      </c>
      <c r="E31" s="3" t="s">
        <v>95</v>
      </c>
      <c r="F31" s="0" t="n">
        <v>2198506.82</v>
      </c>
      <c r="G31" s="0" t="n">
        <v>0</v>
      </c>
    </row>
    <row r="32" customFormat="false" ht="23.85" hidden="false" customHeight="false" outlineLevel="0" collapsed="false">
      <c r="A32" s="3" t="s">
        <v>126</v>
      </c>
      <c r="B32" s="3" t="s">
        <v>66</v>
      </c>
      <c r="C32" s="3" t="s">
        <v>127</v>
      </c>
      <c r="E32" s="3" t="s">
        <v>77</v>
      </c>
      <c r="F32" s="0" t="n">
        <v>1609868.29</v>
      </c>
      <c r="G32" s="0" t="n">
        <v>27.36</v>
      </c>
    </row>
    <row r="33" customFormat="false" ht="15" hidden="false" customHeight="false" outlineLevel="0" collapsed="false">
      <c r="A33" s="3" t="s">
        <v>128</v>
      </c>
      <c r="B33" s="3" t="s">
        <v>57</v>
      </c>
      <c r="C33" s="3" t="s">
        <v>129</v>
      </c>
      <c r="E33" s="3" t="s">
        <v>95</v>
      </c>
      <c r="F33" s="0" t="n">
        <v>3556727.03</v>
      </c>
      <c r="G33" s="0" t="n">
        <v>0</v>
      </c>
    </row>
    <row r="34" customFormat="false" ht="23.85" hidden="false" customHeight="false" outlineLevel="0" collapsed="false">
      <c r="A34" s="3" t="s">
        <v>130</v>
      </c>
      <c r="B34" s="3" t="s">
        <v>66</v>
      </c>
      <c r="C34" s="3" t="s">
        <v>131</v>
      </c>
      <c r="E34" s="3" t="s">
        <v>77</v>
      </c>
      <c r="F34" s="0" t="n">
        <v>420733.5</v>
      </c>
      <c r="G34" s="0" t="n">
        <v>51.16</v>
      </c>
    </row>
    <row r="35" customFormat="false" ht="23.85" hidden="false" customHeight="false" outlineLevel="0" collapsed="false">
      <c r="A35" s="3" t="s">
        <v>132</v>
      </c>
      <c r="B35" s="3" t="s">
        <v>66</v>
      </c>
      <c r="C35" s="3" t="s">
        <v>133</v>
      </c>
      <c r="E35" s="3" t="s">
        <v>59</v>
      </c>
      <c r="F35" s="0" t="n">
        <v>1290260.69</v>
      </c>
      <c r="G35" s="0" t="n">
        <v>94.15</v>
      </c>
    </row>
    <row r="36" customFormat="false" ht="23.85" hidden="false" customHeight="false" outlineLevel="0" collapsed="false">
      <c r="A36" s="3" t="s">
        <v>134</v>
      </c>
      <c r="B36" s="3" t="s">
        <v>66</v>
      </c>
      <c r="C36" s="3" t="s">
        <v>135</v>
      </c>
      <c r="E36" s="3" t="s">
        <v>77</v>
      </c>
      <c r="F36" s="0" t="n">
        <v>1828230.46</v>
      </c>
      <c r="G36" s="0" t="n">
        <v>89.67</v>
      </c>
    </row>
    <row r="37" customFormat="false" ht="23.85" hidden="false" customHeight="false" outlineLevel="0" collapsed="false">
      <c r="A37" s="3" t="s">
        <v>136</v>
      </c>
      <c r="B37" s="3" t="s">
        <v>66</v>
      </c>
      <c r="C37" s="3" t="s">
        <v>137</v>
      </c>
      <c r="D37" s="3" t="s">
        <v>138</v>
      </c>
      <c r="E37" s="3" t="s">
        <v>69</v>
      </c>
      <c r="F37" s="0" t="n">
        <v>3841162.52</v>
      </c>
      <c r="G37" s="0" t="n">
        <v>100</v>
      </c>
    </row>
    <row r="38" customFormat="false" ht="23.85" hidden="false" customHeight="false" outlineLevel="0" collapsed="false">
      <c r="A38" s="3" t="s">
        <v>139</v>
      </c>
      <c r="B38" s="3" t="s">
        <v>66</v>
      </c>
      <c r="C38" s="3" t="s">
        <v>140</v>
      </c>
      <c r="D38" s="3" t="s">
        <v>141</v>
      </c>
      <c r="E38" s="3" t="s">
        <v>69</v>
      </c>
      <c r="F38" s="0" t="n">
        <v>1519571.42</v>
      </c>
      <c r="G38" s="0" t="n">
        <v>100</v>
      </c>
    </row>
    <row r="39" customFormat="false" ht="23.85" hidden="false" customHeight="false" outlineLevel="0" collapsed="false">
      <c r="A39" s="3" t="s">
        <v>142</v>
      </c>
      <c r="B39" s="3" t="s">
        <v>66</v>
      </c>
      <c r="C39" s="3" t="s">
        <v>143</v>
      </c>
      <c r="D39" s="3" t="s">
        <v>111</v>
      </c>
      <c r="E39" s="3" t="s">
        <v>69</v>
      </c>
      <c r="F39" s="0" t="n">
        <v>1758420.19</v>
      </c>
      <c r="G39" s="0" t="n">
        <v>100</v>
      </c>
    </row>
    <row r="40" customFormat="false" ht="15" hidden="false" customHeight="false" outlineLevel="0" collapsed="false">
      <c r="A40" s="3" t="s">
        <v>144</v>
      </c>
      <c r="B40" s="3" t="s">
        <v>57</v>
      </c>
      <c r="C40" s="3" t="s">
        <v>101</v>
      </c>
      <c r="D40" s="3" t="s">
        <v>107</v>
      </c>
      <c r="E40" s="3" t="s">
        <v>69</v>
      </c>
      <c r="F40" s="0" t="n">
        <v>2336008.34</v>
      </c>
      <c r="G40" s="0" t="n">
        <v>100</v>
      </c>
    </row>
    <row r="41" customFormat="false" ht="15" hidden="false" customHeight="false" outlineLevel="0" collapsed="false">
      <c r="A41" s="3" t="s">
        <v>145</v>
      </c>
      <c r="B41" s="3" t="s">
        <v>57</v>
      </c>
      <c r="C41" s="3" t="s">
        <v>146</v>
      </c>
      <c r="D41" s="3" t="s">
        <v>147</v>
      </c>
      <c r="E41" s="3" t="s">
        <v>69</v>
      </c>
      <c r="F41" s="0" t="n">
        <v>1717649.95</v>
      </c>
      <c r="G41" s="0" t="n">
        <v>100</v>
      </c>
    </row>
    <row r="42" customFormat="false" ht="15" hidden="false" customHeight="false" outlineLevel="0" collapsed="false">
      <c r="A42" s="3" t="s">
        <v>148</v>
      </c>
      <c r="B42" s="3" t="s">
        <v>57</v>
      </c>
      <c r="C42" s="3" t="s">
        <v>149</v>
      </c>
      <c r="E42" s="3" t="s">
        <v>59</v>
      </c>
      <c r="F42" s="0" t="n">
        <v>1410689.37</v>
      </c>
      <c r="G42" s="0" t="n">
        <v>1.36</v>
      </c>
    </row>
    <row r="43" customFormat="false" ht="23.85" hidden="false" customHeight="false" outlineLevel="0" collapsed="false">
      <c r="A43" s="3" t="s">
        <v>150</v>
      </c>
      <c r="B43" s="3" t="s">
        <v>66</v>
      </c>
      <c r="C43" s="3" t="s">
        <v>151</v>
      </c>
      <c r="E43" s="3" t="s">
        <v>95</v>
      </c>
      <c r="F43" s="0" t="n">
        <v>1627302.61</v>
      </c>
      <c r="G43" s="0" t="n">
        <v>0</v>
      </c>
    </row>
    <row r="44" customFormat="false" ht="15" hidden="false" customHeight="false" outlineLevel="0" collapsed="false">
      <c r="A44" s="3" t="s">
        <v>152</v>
      </c>
      <c r="B44" s="3" t="s">
        <v>61</v>
      </c>
      <c r="C44" s="3" t="s">
        <v>153</v>
      </c>
      <c r="E44" s="3" t="s">
        <v>95</v>
      </c>
      <c r="F44" s="0" t="n">
        <v>1213889.01</v>
      </c>
      <c r="G44" s="0" t="n">
        <v>0</v>
      </c>
    </row>
    <row r="45" customFormat="false" ht="23.85" hidden="false" customHeight="false" outlineLevel="0" collapsed="false">
      <c r="A45" s="3" t="s">
        <v>154</v>
      </c>
      <c r="B45" s="3" t="s">
        <v>66</v>
      </c>
      <c r="C45" s="3" t="s">
        <v>147</v>
      </c>
      <c r="D45" s="3" t="s">
        <v>121</v>
      </c>
      <c r="E45" s="3" t="s">
        <v>69</v>
      </c>
      <c r="F45" s="0" t="n">
        <v>2277732.78</v>
      </c>
      <c r="G45" s="0" t="n">
        <v>100</v>
      </c>
    </row>
    <row r="46" customFormat="false" ht="15" hidden="false" customHeight="false" outlineLevel="0" collapsed="false">
      <c r="A46" s="3" t="s">
        <v>155</v>
      </c>
      <c r="B46" s="3" t="s">
        <v>57</v>
      </c>
      <c r="C46" s="3" t="s">
        <v>131</v>
      </c>
      <c r="D46" s="3" t="s">
        <v>31</v>
      </c>
      <c r="E46" s="3" t="s">
        <v>69</v>
      </c>
      <c r="F46" s="0" t="n">
        <v>3932781.22</v>
      </c>
      <c r="G46" s="0" t="n">
        <v>100</v>
      </c>
    </row>
  </sheetData>
  <autoFilter ref="A1:G46"/>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2026-09-26T18:53:15Z</dcterms:created>
  <dc:creator>openpyxl</dc:creator>
  <dc:description/>
  <dc:language>en-US</dc:language>
  <cp:lastModifiedBy/>
  <dcterms:modified xsi:type="dcterms:W3CDTF">2026-09-26T18:53:15Z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