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1'!$A$1:$J$31</definedName>
    <definedName function="false" hidden="false" localSheetId="3" name="_xlnm.Print_Titles" vbProcedure="false">'Data 1'!$1:$1</definedName>
    <definedName function="false" hidden="true" localSheetId="3" name="_xlnm._FilterDatabase" vbProcedure="false">'Data 1'!$A$1:$J$241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<sst xmlns="http://schemas.openxmlformats.org/spreadsheetml/2006/main" count="1086" uniqueCount="339">
  <si>
    <t xml:space="preserve">Customer Contact Volumes, January 2025 - August 2026</t>
  </si>
  <si>
    <t xml:space="preserve">Sedgewater Energy Holdings</t>
  </si>
  <si>
    <t xml:space="preserve">Effective date</t>
  </si>
  <si>
    <t xml:space="preserve">2026-09-10</t>
  </si>
  <si>
    <t xml:space="preserve">Purpose</t>
  </si>
  <si>
    <t xml:space="preserve">Monthly contacts by business and reason with handled, self-service, abandoned and minutes.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</si>
  <si>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</si>
  <si>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</si>
  <si>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</si>
  <si>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</si>
  <si>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</si>
  <si>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monthly customer contact volumes from January 2025 to August 2026 for the electric and gas businesses, by contact reason. Prepared by Customer Contact from the contact center platform. Counts are aggregate; no customer records are included.</t>
  </si>
  <si>
    <t xml:space="preserve">Sheets</t>
  </si>
  <si>
    <t xml:space="preserve">Data 1 - contacts offered, handled by agents, completed in self-service and abandoned, with total handle and wait minutes, by month, business and reason.</t>
  </si>
  <si>
    <t xml:space="preserve">Summary - formula totals of each numeric column.</t>
  </si>
  <si>
    <t xml:space="preserve">Definitions</t>
  </si>
  <si>
    <t xml:space="preserve">Contacts offered equals contacts handled by agents plus contacts completed in self-service (text, web or automated phone) plus calls abandoned in the queue. Average speed of answer is wait minutes divided by contacts handled. Electric contacts cover outages, hazards, meter access, streetlights and service-order questions; electricity billing questions go to the customer's REP. Gas contacts include billing, payments, start and stop, odor calls and pilot relights.</t>
  </si>
  <si>
    <t xml:space="preserve">2025</t>
  </si>
  <si>
    <t xml:space="preserve">586,919 electric and 841,105 gas contacts. Average speed of answer was 62 seconds for electric and 54 seconds for gas; 3.7% of queued calls were abandoned.</t>
  </si>
  <si>
    <t xml:space="preserve">2026 to August</t>
  </si>
  <si>
    <t xml:space="preserve">Electric 562,022 and gas 555,713 contacts; 53% were completed in self-service channels. In May 2026 electric contacts reached 205,440 (April 49,645), electric average speed of answer was 175 seconds for the month and 12.1% of queued electric calls were abandoned. Outage reports made up 161,557 of the May electric contacts, 78% of them completed without an agent.</t>
  </si>
  <si>
    <t xml:space="preserve">Targets and model</t>
  </si>
  <si>
    <t xml:space="preserve">Targets: average speed of answer of 60 seconds or less in normal operations and under three minutes during storm activation; abandonment below 5%. One contact center at the Houston operations center handles both businesses, with an overflow partner for storms and billing peaks.</t>
  </si>
  <si>
    <t xml:space="preserve">Data notes</t>
  </si>
  <si>
    <t xml:space="preserve">Electric self-service is blank for January and February 2025 because text outage reporting was added to the statistics in March 2025; contacts offered for those months exclude self-service. In January 2026 the 'REP or service-order inquiry' reason was redefined to include REP calls about meter reads.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</si>
  <si>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</si>
  <si>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</si>
  <si>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</si>
  <si>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</si>
  <si>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</si>
  <si>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</si>
  <si>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</si>
  <si>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</si>
  <si>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Customer contacts by month, business and reason, Jan 2025-Aug 2026</t>
  </si>
  <si>
    <t xml:space="preserve">contacts_offered</t>
  </si>
  <si>
    <t xml:space="preserve">contacts</t>
  </si>
  <si>
    <t xml:space="preserve">2025-01-01</t>
  </si>
  <si>
    <t xml:space="preserve">2026-08-31</t>
  </si>
  <si>
    <t xml:space="preserve">handled_by_agent</t>
  </si>
  <si>
    <t xml:space="preserve">self_service</t>
  </si>
  <si>
    <t xml:space="preserve">abandoned</t>
  </si>
  <si>
    <t xml:space="preserve">handle_minutes</t>
  </si>
  <si>
    <t xml:space="preserve">minutes</t>
  </si>
  <si>
    <t xml:space="preserve">wait_minutes</t>
  </si>
  <si>
    <t xml:space="preserve">Field</t>
  </si>
  <si>
    <t xml:space="preserve">Definition</t>
  </si>
  <si>
    <t xml:space="preserve">Type</t>
  </si>
  <si>
    <t xml:space="preserve">Reference</t>
  </si>
  <si>
    <t xml:space="preserve">record_id</t>
  </si>
  <si>
    <t xml:space="preserve">CX-0001</t>
  </si>
  <si>
    <t xml:space="preserve">id</t>
  </si>
  <si>
    <t xml:space="preserve">Contacts offered (all channels)</t>
  </si>
  <si>
    <t xml:space="preserve">integer</t>
  </si>
  <si>
    <t xml:space="preserve">Handled by agent</t>
  </si>
  <si>
    <t xml:space="preserve">Completed in IVR/web/text</t>
  </si>
  <si>
    <t xml:space="preserve">Abandoned in queue</t>
  </si>
  <si>
    <t xml:space="preserve">Total agent handle minutes</t>
  </si>
  <si>
    <t xml:space="preserve">number</t>
  </si>
  <si>
    <t xml:space="preserve">Total queue wait minutes (answered)</t>
  </si>
  <si>
    <t xml:space="preserve">month_start</t>
  </si>
  <si>
    <t xml:space="preserve">Month</t>
  </si>
  <si>
    <t xml:space="preserve">date</t>
  </si>
  <si>
    <t xml:space="preserve">business</t>
  </si>
  <si>
    <t xml:space="preserve">Business</t>
  </si>
  <si>
    <t xml:space="preserve">category</t>
  </si>
  <si>
    <t xml:space="preserve">reason</t>
  </si>
  <si>
    <t xml:space="preserve">Reason</t>
  </si>
  <si>
    <t xml:space="preserve">Electric</t>
  </si>
  <si>
    <t xml:space="preserve">Outage report</t>
  </si>
  <si>
    <t xml:space="preserve">CX-0002</t>
  </si>
  <si>
    <t xml:space="preserve">2025-02-01</t>
  </si>
  <si>
    <t xml:space="preserve">CX-0003</t>
  </si>
  <si>
    <t xml:space="preserve">2025-03-01</t>
  </si>
  <si>
    <t xml:space="preserve">CX-0004</t>
  </si>
  <si>
    <t xml:space="preserve">2025-04-01</t>
  </si>
  <si>
    <t xml:space="preserve">CX-0005</t>
  </si>
  <si>
    <t xml:space="preserve">2025-05-01</t>
  </si>
  <si>
    <t xml:space="preserve">CX-0006</t>
  </si>
  <si>
    <t xml:space="preserve">2025-06-01</t>
  </si>
  <si>
    <t xml:space="preserve">CX-0007</t>
  </si>
  <si>
    <t xml:space="preserve">2025-07-01</t>
  </si>
  <si>
    <t xml:space="preserve">CX-0008</t>
  </si>
  <si>
    <t xml:space="preserve">2025-08-01</t>
  </si>
  <si>
    <t xml:space="preserve">CX-0009</t>
  </si>
  <si>
    <t xml:space="preserve">2025-09-01</t>
  </si>
  <si>
    <t xml:space="preserve">CX-0010</t>
  </si>
  <si>
    <t xml:space="preserve">2025-10-01</t>
  </si>
  <si>
    <t xml:space="preserve">CX-0011</t>
  </si>
  <si>
    <t xml:space="preserve">2025-11-01</t>
  </si>
  <si>
    <t xml:space="preserve">CX-0012</t>
  </si>
  <si>
    <t xml:space="preserve">2025-12-01</t>
  </si>
  <si>
    <t xml:space="preserve">CX-0013</t>
  </si>
  <si>
    <t xml:space="preserve">2026-01-01</t>
  </si>
  <si>
    <t xml:space="preserve">CX-0014</t>
  </si>
  <si>
    <t xml:space="preserve">2026-02-01</t>
  </si>
  <si>
    <t xml:space="preserve">CX-0015</t>
  </si>
  <si>
    <t xml:space="preserve">2026-03-01</t>
  </si>
  <si>
    <t xml:space="preserve">CX-0016</t>
  </si>
  <si>
    <t xml:space="preserve">2026-04-01</t>
  </si>
  <si>
    <t xml:space="preserve">CX-0017</t>
  </si>
  <si>
    <t xml:space="preserve">2026-05-01</t>
  </si>
  <si>
    <t xml:space="preserve">CX-0018</t>
  </si>
  <si>
    <t xml:space="preserve">2026-06-01</t>
  </si>
  <si>
    <t xml:space="preserve">CX-0019</t>
  </si>
  <si>
    <t xml:space="preserve">2026-07-01</t>
  </si>
  <si>
    <t xml:space="preserve">CX-0020</t>
  </si>
  <si>
    <t xml:space="preserve">2026-08-01</t>
  </si>
  <si>
    <t xml:space="preserve">CX-0021</t>
  </si>
  <si>
    <t xml:space="preserve">Wire down or hazard</t>
  </si>
  <si>
    <t xml:space="preserve">CX-0022</t>
  </si>
  <si>
    <t xml:space="preserve">CX-0023</t>
  </si>
  <si>
    <t xml:space="preserve">CX-0024</t>
  </si>
  <si>
    <t xml:space="preserve">CX-0025</t>
  </si>
  <si>
    <t xml:space="preserve">CX-0026</t>
  </si>
  <si>
    <t xml:space="preserve">CX-0027</t>
  </si>
  <si>
    <t xml:space="preserve">CX-0028</t>
  </si>
  <si>
    <t xml:space="preserve">CX-0029</t>
  </si>
  <si>
    <t xml:space="preserve">CX-0030</t>
  </si>
  <si>
    <t xml:space="preserve">CX-0031</t>
  </si>
  <si>
    <t xml:space="preserve">CX-0032</t>
  </si>
  <si>
    <t xml:space="preserve">CX-0033</t>
  </si>
  <si>
    <t xml:space="preserve">CX-0034</t>
  </si>
  <si>
    <t xml:space="preserve">CX-0035</t>
  </si>
  <si>
    <t xml:space="preserve">CX-0036</t>
  </si>
  <si>
    <t xml:space="preserve">CX-0037</t>
  </si>
  <si>
    <t xml:space="preserve">CX-0038</t>
  </si>
  <si>
    <t xml:space="preserve">CX-0039</t>
  </si>
  <si>
    <t xml:space="preserve">CX-0040</t>
  </si>
  <si>
    <t xml:space="preserve">CX-0041</t>
  </si>
  <si>
    <t xml:space="preserve">REP or service-order inquiry</t>
  </si>
  <si>
    <t xml:space="preserve">CX-0042</t>
  </si>
  <si>
    <t xml:space="preserve">CX-0043</t>
  </si>
  <si>
    <t xml:space="preserve">CX-0044</t>
  </si>
  <si>
    <t xml:space="preserve">CX-0045</t>
  </si>
  <si>
    <t xml:space="preserve">CX-0046</t>
  </si>
  <si>
    <t xml:space="preserve">CX-0047</t>
  </si>
  <si>
    <t xml:space="preserve">CX-0048</t>
  </si>
  <si>
    <t xml:space="preserve">CX-0049</t>
  </si>
  <si>
    <t xml:space="preserve">CX-0050</t>
  </si>
  <si>
    <t xml:space="preserve">CX-0051</t>
  </si>
  <si>
    <t xml:space="preserve">CX-0052</t>
  </si>
  <si>
    <t xml:space="preserve">CX-0053</t>
  </si>
  <si>
    <t xml:space="preserve">CX-0054</t>
  </si>
  <si>
    <t xml:space="preserve">CX-0055</t>
  </si>
  <si>
    <t xml:space="preserve">CX-0056</t>
  </si>
  <si>
    <t xml:space="preserve">CX-0057</t>
  </si>
  <si>
    <t xml:space="preserve">CX-0058</t>
  </si>
  <si>
    <t xml:space="preserve">CX-0059</t>
  </si>
  <si>
    <t xml:space="preserve">CX-0060</t>
  </si>
  <si>
    <t xml:space="preserve">CX-0061</t>
  </si>
  <si>
    <t xml:space="preserve">Streetlight</t>
  </si>
  <si>
    <t xml:space="preserve">CX-0062</t>
  </si>
  <si>
    <t xml:space="preserve">CX-0063</t>
  </si>
  <si>
    <t xml:space="preserve">CX-0064</t>
  </si>
  <si>
    <t xml:space="preserve">CX-0065</t>
  </si>
  <si>
    <t xml:space="preserve">CX-0066</t>
  </si>
  <si>
    <t xml:space="preserve">CX-0067</t>
  </si>
  <si>
    <t xml:space="preserve">CX-0068</t>
  </si>
  <si>
    <t xml:space="preserve">CX-0069</t>
  </si>
  <si>
    <t xml:space="preserve">CX-0070</t>
  </si>
  <si>
    <t xml:space="preserve">CX-0071</t>
  </si>
  <si>
    <t xml:space="preserve">CX-0072</t>
  </si>
  <si>
    <t xml:space="preserve">CX-0073</t>
  </si>
  <si>
    <t xml:space="preserve">CX-0074</t>
  </si>
  <si>
    <t xml:space="preserve">CX-0075</t>
  </si>
  <si>
    <t xml:space="preserve">CX-0076</t>
  </si>
  <si>
    <t xml:space="preserve">CX-0077</t>
  </si>
  <si>
    <t xml:space="preserve">CX-0078</t>
  </si>
  <si>
    <t xml:space="preserve">CX-0079</t>
  </si>
  <si>
    <t xml:space="preserve">CX-0080</t>
  </si>
  <si>
    <t xml:space="preserve">CX-0081</t>
  </si>
  <si>
    <t xml:space="preserve">Meter access</t>
  </si>
  <si>
    <t xml:space="preserve">CX-0082</t>
  </si>
  <si>
    <t xml:space="preserve">CX-0083</t>
  </si>
  <si>
    <t xml:space="preserve">CX-0084</t>
  </si>
  <si>
    <t xml:space="preserve">CX-0085</t>
  </si>
  <si>
    <t xml:space="preserve">CX-0086</t>
  </si>
  <si>
    <t xml:space="preserve">CX-0087</t>
  </si>
  <si>
    <t xml:space="preserve">CX-0088</t>
  </si>
  <si>
    <t xml:space="preserve">CX-0089</t>
  </si>
  <si>
    <t xml:space="preserve">CX-0090</t>
  </si>
  <si>
    <t xml:space="preserve">CX-0091</t>
  </si>
  <si>
    <t xml:space="preserve">CX-0092</t>
  </si>
  <si>
    <t xml:space="preserve">CX-0093</t>
  </si>
  <si>
    <t xml:space="preserve">CX-0094</t>
  </si>
  <si>
    <t xml:space="preserve">CX-0095</t>
  </si>
  <si>
    <t xml:space="preserve">CX-0096</t>
  </si>
  <si>
    <t xml:space="preserve">CX-0097</t>
  </si>
  <si>
    <t xml:space="preserve">CX-0098</t>
  </si>
  <si>
    <t xml:space="preserve">CX-0099</t>
  </si>
  <si>
    <t xml:space="preserve">CX-0100</t>
  </si>
  <si>
    <t xml:space="preserve">CX-0101</t>
  </si>
  <si>
    <t xml:space="preserve">Electric general</t>
  </si>
  <si>
    <t xml:space="preserve">CX-0102</t>
  </si>
  <si>
    <t xml:space="preserve">CX-0103</t>
  </si>
  <si>
    <t xml:space="preserve">CX-0104</t>
  </si>
  <si>
    <t xml:space="preserve">CX-0105</t>
  </si>
  <si>
    <t xml:space="preserve">CX-0106</t>
  </si>
  <si>
    <t xml:space="preserve">CX-0107</t>
  </si>
  <si>
    <t xml:space="preserve">CX-0108</t>
  </si>
  <si>
    <t xml:space="preserve">CX-0109</t>
  </si>
  <si>
    <t xml:space="preserve">CX-0110</t>
  </si>
  <si>
    <t xml:space="preserve">CX-0111</t>
  </si>
  <si>
    <t xml:space="preserve">CX-0112</t>
  </si>
  <si>
    <t xml:space="preserve">CX-0113</t>
  </si>
  <si>
    <t xml:space="preserve">CX-0114</t>
  </si>
  <si>
    <t xml:space="preserve">CX-0115</t>
  </si>
  <si>
    <t xml:space="preserve">CX-0116</t>
  </si>
  <si>
    <t xml:space="preserve">CX-0117</t>
  </si>
  <si>
    <t xml:space="preserve">CX-0118</t>
  </si>
  <si>
    <t xml:space="preserve">CX-0119</t>
  </si>
  <si>
    <t xml:space="preserve">CX-0120</t>
  </si>
  <si>
    <t xml:space="preserve">CX-0121</t>
  </si>
  <si>
    <t xml:space="preserve">Gas</t>
  </si>
  <si>
    <t xml:space="preserve">Gas billing</t>
  </si>
  <si>
    <t xml:space="preserve">CX-0122</t>
  </si>
  <si>
    <t xml:space="preserve">CX-0123</t>
  </si>
  <si>
    <t xml:space="preserve">CX-0124</t>
  </si>
  <si>
    <t xml:space="preserve">CX-0125</t>
  </si>
  <si>
    <t xml:space="preserve">CX-0126</t>
  </si>
  <si>
    <t xml:space="preserve">CX-0127</t>
  </si>
  <si>
    <t xml:space="preserve">CX-0128</t>
  </si>
  <si>
    <t xml:space="preserve">CX-0129</t>
  </si>
  <si>
    <t xml:space="preserve">CX-0130</t>
  </si>
  <si>
    <t xml:space="preserve">CX-0131</t>
  </si>
  <si>
    <t xml:space="preserve">CX-0132</t>
  </si>
  <si>
    <t xml:space="preserve">CX-0133</t>
  </si>
  <si>
    <t xml:space="preserve">CX-0134</t>
  </si>
  <si>
    <t xml:space="preserve">CX-0135</t>
  </si>
  <si>
    <t xml:space="preserve">CX-0136</t>
  </si>
  <si>
    <t xml:space="preserve">CX-0137</t>
  </si>
  <si>
    <t xml:space="preserve">CX-0138</t>
  </si>
  <si>
    <t xml:space="preserve">CX-0139</t>
  </si>
  <si>
    <t xml:space="preserve">CX-0140</t>
  </si>
  <si>
    <t xml:space="preserve">CX-0141</t>
  </si>
  <si>
    <t xml:space="preserve">Gas start or stop</t>
  </si>
  <si>
    <t xml:space="preserve">CX-0142</t>
  </si>
  <si>
    <t xml:space="preserve">CX-0143</t>
  </si>
  <si>
    <t xml:space="preserve">CX-0144</t>
  </si>
  <si>
    <t xml:space="preserve">CX-0145</t>
  </si>
  <si>
    <t xml:space="preserve">CX-0146</t>
  </si>
  <si>
    <t xml:space="preserve">CX-0147</t>
  </si>
  <si>
    <t xml:space="preserve">CX-0148</t>
  </si>
  <si>
    <t xml:space="preserve">CX-0149</t>
  </si>
  <si>
    <t xml:space="preserve">CX-0150</t>
  </si>
  <si>
    <t xml:space="preserve">CX-0151</t>
  </si>
  <si>
    <t xml:space="preserve">CX-0152</t>
  </si>
  <si>
    <t xml:space="preserve">CX-0153</t>
  </si>
  <si>
    <t xml:space="preserve">CX-0154</t>
  </si>
  <si>
    <t xml:space="preserve">CX-0155</t>
  </si>
  <si>
    <t xml:space="preserve">CX-0156</t>
  </si>
  <si>
    <t xml:space="preserve">CX-0157</t>
  </si>
  <si>
    <t xml:space="preserve">CX-0158</t>
  </si>
  <si>
    <t xml:space="preserve">CX-0159</t>
  </si>
  <si>
    <t xml:space="preserve">CX-0160</t>
  </si>
  <si>
    <t xml:space="preserve">CX-0161</t>
  </si>
  <si>
    <t xml:space="preserve">Gas odor or emergency</t>
  </si>
  <si>
    <t xml:space="preserve">CX-0162</t>
  </si>
  <si>
    <t xml:space="preserve">CX-0163</t>
  </si>
  <si>
    <t xml:space="preserve">CX-0164</t>
  </si>
  <si>
    <t xml:space="preserve">CX-0165</t>
  </si>
  <si>
    <t xml:space="preserve">CX-0166</t>
  </si>
  <si>
    <t xml:space="preserve">CX-0167</t>
  </si>
  <si>
    <t xml:space="preserve">CX-0168</t>
  </si>
  <si>
    <t xml:space="preserve">CX-0169</t>
  </si>
  <si>
    <t xml:space="preserve">CX-0170</t>
  </si>
  <si>
    <t xml:space="preserve">CX-0171</t>
  </si>
  <si>
    <t xml:space="preserve">CX-0172</t>
  </si>
  <si>
    <t xml:space="preserve">CX-0173</t>
  </si>
  <si>
    <t xml:space="preserve">CX-0174</t>
  </si>
  <si>
    <t xml:space="preserve">CX-0175</t>
  </si>
  <si>
    <t xml:space="preserve">CX-0176</t>
  </si>
  <si>
    <t xml:space="preserve">CX-0177</t>
  </si>
  <si>
    <t xml:space="preserve">CX-0178</t>
  </si>
  <si>
    <t xml:space="preserve">CX-0179</t>
  </si>
  <si>
    <t xml:space="preserve">CX-0180</t>
  </si>
  <si>
    <t xml:space="preserve">CX-0181</t>
  </si>
  <si>
    <t xml:space="preserve">Gas payment arrangement</t>
  </si>
  <si>
    <t xml:space="preserve">CX-0182</t>
  </si>
  <si>
    <t xml:space="preserve">CX-0183</t>
  </si>
  <si>
    <t xml:space="preserve">CX-0184</t>
  </si>
  <si>
    <t xml:space="preserve">CX-0185</t>
  </si>
  <si>
    <t xml:space="preserve">CX-0186</t>
  </si>
  <si>
    <t xml:space="preserve">CX-0187</t>
  </si>
  <si>
    <t xml:space="preserve">CX-0188</t>
  </si>
  <si>
    <t xml:space="preserve">CX-0189</t>
  </si>
  <si>
    <t xml:space="preserve">CX-0190</t>
  </si>
  <si>
    <t xml:space="preserve">CX-0191</t>
  </si>
  <si>
    <t xml:space="preserve">CX-0192</t>
  </si>
  <si>
    <t xml:space="preserve">CX-0193</t>
  </si>
  <si>
    <t xml:space="preserve">CX-0194</t>
  </si>
  <si>
    <t xml:space="preserve">CX-0195</t>
  </si>
  <si>
    <t xml:space="preserve">CX-0196</t>
  </si>
  <si>
    <t xml:space="preserve">CX-0197</t>
  </si>
  <si>
    <t xml:space="preserve">CX-0198</t>
  </si>
  <si>
    <t xml:space="preserve">CX-0199</t>
  </si>
  <si>
    <t xml:space="preserve">CX-0200</t>
  </si>
  <si>
    <t xml:space="preserve">CX-0201</t>
  </si>
  <si>
    <t xml:space="preserve">Pilot relight</t>
  </si>
  <si>
    <t xml:space="preserve">CX-0202</t>
  </si>
  <si>
    <t xml:space="preserve">CX-0203</t>
  </si>
  <si>
    <t xml:space="preserve">CX-0204</t>
  </si>
  <si>
    <t xml:space="preserve">CX-0205</t>
  </si>
  <si>
    <t xml:space="preserve">CX-0206</t>
  </si>
  <si>
    <t xml:space="preserve">CX-0207</t>
  </si>
  <si>
    <t xml:space="preserve">CX-0208</t>
  </si>
  <si>
    <t xml:space="preserve">CX-0209</t>
  </si>
  <si>
    <t xml:space="preserve">CX-0210</t>
  </si>
  <si>
    <t xml:space="preserve">CX-0211</t>
  </si>
  <si>
    <t xml:space="preserve">CX-0212</t>
  </si>
  <si>
    <t xml:space="preserve">CX-0213</t>
  </si>
  <si>
    <t xml:space="preserve">CX-0214</t>
  </si>
  <si>
    <t xml:space="preserve">CX-0215</t>
  </si>
  <si>
    <t xml:space="preserve">CX-0216</t>
  </si>
  <si>
    <t xml:space="preserve">CX-0217</t>
  </si>
  <si>
    <t xml:space="preserve">CX-0218</t>
  </si>
  <si>
    <t xml:space="preserve">CX-0219</t>
  </si>
  <si>
    <t xml:space="preserve">CX-0220</t>
  </si>
  <si>
    <t xml:space="preserve">CX-0221</t>
  </si>
  <si>
    <t xml:space="preserve">Gas general</t>
  </si>
  <si>
    <t xml:space="preserve">CX-0222</t>
  </si>
  <si>
    <t xml:space="preserve">CX-0223</t>
  </si>
  <si>
    <t xml:space="preserve">CX-0224</t>
  </si>
  <si>
    <t xml:space="preserve">CX-0225</t>
  </si>
  <si>
    <t xml:space="preserve">CX-0226</t>
  </si>
  <si>
    <t xml:space="preserve">CX-0227</t>
  </si>
  <si>
    <t xml:space="preserve">CX-0228</t>
  </si>
  <si>
    <t xml:space="preserve">CX-0229</t>
  </si>
  <si>
    <t xml:space="preserve">CX-0230</t>
  </si>
  <si>
    <t xml:space="preserve">CX-0231</t>
  </si>
  <si>
    <t xml:space="preserve">CX-0232</t>
  </si>
  <si>
    <t xml:space="preserve">CX-0233</t>
  </si>
  <si>
    <t xml:space="preserve">CX-0234</t>
  </si>
  <si>
    <t xml:space="preserve">CX-0235</t>
  </si>
  <si>
    <t xml:space="preserve">CX-0236</t>
  </si>
  <si>
    <t xml:space="preserve">CX-0237</t>
  </si>
  <si>
    <t xml:space="preserve">CX-0238</t>
  </si>
  <si>
    <t xml:space="preserve">CX-0239</t>
  </si>
  <si>
    <t xml:space="preserve">CX-0240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</si>
</sst>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J241" headerRowCount="1" totalsRowCount="0" totalsRowShown="0">
  <autoFilter ref="A1:J241"/>
  <tableColumns count="10">
    <tableColumn id="1" name="record_id"/>
    <tableColumn id="2" name="contacts_offered"/>
    <tableColumn id="3" name="handled_by_agent"/>
    <tableColumn id="4" name="self_service"/>
    <tableColumn id="5" name="abandoned"/>
    <tableColumn id="6" name="handle_minutes"/>
    <tableColumn id="7" name="wait_minutes"/>
    <tableColumn id="8" name="month_start"/>
    <tableColumn id="9" name="business"/>
    <tableColumn id="10" name="reas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31.5" hidden="false" customHeight="true" outlineLevel="0" collapsed="false">
      <c r="A8" s="3" t="s">
        <v>12</v>
      </c>
      <c r="B8" s="3" t="s">
        <v>13</v>
      </c>
    </row>
    <row r="9" customFormat="false" ht="31.5" hidden="false" customHeight="true" outlineLevel="0" collapsed="false">
      <c r="A9" s="3" t="s">
        <v>12</v>
      </c>
      <c r="B9" s="3" t="s">
        <v>14</v>
      </c>
    </row>
    <row r="10" customFormat="false" ht="90" hidden="false" customHeight="true" outlineLevel="0" collapsed="false">
      <c r="A10" s="3" t="s">
        <v>15</v>
      </c>
      <c r="B10" s="3" t="s">
        <v>16</v>
      </c>
    </row>
    <row r="11" customFormat="false" ht="31.5" hidden="false" customHeight="true" outlineLevel="0" collapsed="false">
      <c r="A11" s="3" t="s">
        <v>17</v>
      </c>
      <c r="B11" s="3" t="s">
        <v>18</v>
      </c>
    </row>
    <row r="12" customFormat="false" ht="75" hidden="false" customHeight="true" outlineLevel="0" collapsed="false">
      <c r="A12" s="3" t="s">
        <v>19</v>
      </c>
      <c r="B12" s="3" t="s">
        <v>20</v>
      </c>
    </row>
    <row r="13" customFormat="false" ht="60" hidden="false" customHeight="true" outlineLevel="0" collapsed="false">
      <c r="A13" s="3" t="s">
        <v>21</v>
      </c>
      <c r="B13" s="3" t="s">
        <v>22</v>
      </c>
    </row>
    <row r="14" customFormat="false" ht="60" hidden="false" customHeight="true" outlineLevel="0" collapsed="false">
      <c r="A14" s="3" t="s">
        <v>23</v>
      </c>
      <c r="B14" s="3" t="s">
        <v>24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25</v>
      </c>
      <c r="B1" s="1" t="s">
        <v>26</v>
      </c>
      <c r="C1" s="1" t="s">
        <v>27</v>
      </c>
      <c r="D1" s="1" t="s">
        <v>28</v>
      </c>
      <c r="E1" s="1" t="s">
        <v>29</v>
      </c>
      <c r="F1" s="1" t="s">
        <v>30</v>
      </c>
      <c r="G1" s="1" t="s">
        <v>31</v>
      </c>
      <c r="H1" s="1" t="s">
        <v>32</v>
      </c>
    </row>
    <row r="2" customFormat="false" ht="45" hidden="false" customHeight="true" outlineLevel="0" collapsed="false">
      <c r="A2" s="3" t="s">
        <v>33</v>
      </c>
      <c r="B2" s="3" t="s">
        <v>34</v>
      </c>
      <c r="C2" s="3" t="s">
        <v>35</v>
      </c>
      <c r="D2" s="4" t="n">
        <f aca="false">SUM('Data 1'!B2:B241)</f>
        <v>2545759</v>
      </c>
      <c r="E2" s="4" t="n">
        <f aca="false">IF(COUNT('Data 1'!B2:B241)=0,0,AVERAGE('Data 1'!B2:B241))</f>
        <v>10607.3291666667</v>
      </c>
      <c r="F2" s="0" t="n">
        <f aca="false">COUNT('Data 1'!B2:B241)</f>
        <v>240</v>
      </c>
      <c r="G2" s="3" t="s">
        <v>36</v>
      </c>
      <c r="H2" s="3" t="s">
        <v>37</v>
      </c>
    </row>
    <row r="3" customFormat="false" ht="45" hidden="false" customHeight="true" outlineLevel="0" collapsed="false">
      <c r="A3" s="3" t="s">
        <v>33</v>
      </c>
      <c r="B3" s="3" t="s">
        <v>38</v>
      </c>
      <c r="C3" s="3" t="s">
        <v>35</v>
      </c>
      <c r="D3" s="4" t="n">
        <f aca="false">SUM('Data 1'!C2:C241)</f>
        <v>1266460</v>
      </c>
      <c r="E3" s="4" t="n">
        <f aca="false">IF(COUNT('Data 1'!C2:C241)=0,0,AVERAGE('Data 1'!C2:C241))</f>
        <v>5276.91666666667</v>
      </c>
      <c r="F3" s="0" t="n">
        <f aca="false">COUNT('Data 1'!C2:C241)</f>
        <v>240</v>
      </c>
      <c r="G3" s="3" t="s">
        <v>36</v>
      </c>
      <c r="H3" s="3" t="s">
        <v>37</v>
      </c>
    </row>
    <row r="4" customFormat="false" ht="45" hidden="false" customHeight="true" outlineLevel="0" collapsed="false">
      <c r="A4" s="3" t="s">
        <v>33</v>
      </c>
      <c r="B4" s="3" t="s">
        <v>39</v>
      </c>
      <c r="C4" s="3" t="s">
        <v>35</v>
      </c>
      <c r="D4" s="4" t="n">
        <f aca="false">SUM('Data 1'!D2:D241)</f>
        <v>1225767</v>
      </c>
      <c r="E4" s="4" t="n">
        <f aca="false">IF(COUNT('Data 1'!D2:D241)=0,0,AVERAGE('Data 1'!D2:D241))</f>
        <v>5376.17105263158</v>
      </c>
      <c r="F4" s="0" t="n">
        <f aca="false">COUNT('Data 1'!D2:D241)</f>
        <v>228</v>
      </c>
      <c r="G4" s="3" t="s">
        <v>36</v>
      </c>
      <c r="H4" s="3" t="s">
        <v>37</v>
      </c>
    </row>
    <row r="5" customFormat="false" ht="45" hidden="false" customHeight="true" outlineLevel="0" collapsed="false">
      <c r="A5" s="3" t="s">
        <v>33</v>
      </c>
      <c r="B5" s="3" t="s">
        <v>40</v>
      </c>
      <c r="C5" s="3" t="s">
        <v>35</v>
      </c>
      <c r="D5" s="4" t="n">
        <f aca="false">SUM('Data 1'!E2:E241)</f>
        <v>53532</v>
      </c>
      <c r="E5" s="4" t="n">
        <f aca="false">IF(COUNT('Data 1'!E2:E241)=0,0,AVERAGE('Data 1'!E2:E241))</f>
        <v>223.05</v>
      </c>
      <c r="F5" s="0" t="n">
        <f aca="false">COUNT('Data 1'!E2:E241)</f>
        <v>240</v>
      </c>
      <c r="G5" s="3" t="s">
        <v>36</v>
      </c>
      <c r="H5" s="3" t="s">
        <v>37</v>
      </c>
    </row>
    <row r="6" customFormat="false" ht="45" hidden="false" customHeight="true" outlineLevel="0" collapsed="false">
      <c r="A6" s="3" t="s">
        <v>33</v>
      </c>
      <c r="B6" s="3" t="s">
        <v>41</v>
      </c>
      <c r="C6" s="3" t="s">
        <v>42</v>
      </c>
      <c r="D6" s="4" t="n">
        <f aca="false">SUM('Data 1'!F2:F241)</f>
        <v>7844178.1</v>
      </c>
      <c r="E6" s="4" t="n">
        <f aca="false">IF(COUNT('Data 1'!F2:F241)=0,0,AVERAGE('Data 1'!F2:F241))</f>
        <v>32684.0754166667</v>
      </c>
      <c r="F6" s="0" t="n">
        <f aca="false">COUNT('Data 1'!F2:F241)</f>
        <v>240</v>
      </c>
      <c r="G6" s="3" t="s">
        <v>36</v>
      </c>
      <c r="H6" s="3" t="s">
        <v>37</v>
      </c>
    </row>
    <row r="7" customFormat="false" ht="45" hidden="false" customHeight="true" outlineLevel="0" collapsed="false">
      <c r="A7" s="3" t="s">
        <v>33</v>
      </c>
      <c r="B7" s="3" t="s">
        <v>43</v>
      </c>
      <c r="C7" s="3" t="s">
        <v>42</v>
      </c>
      <c r="D7" s="4" t="n">
        <f aca="false">SUM('Data 1'!G2:G241)</f>
        <v>1314790</v>
      </c>
      <c r="E7" s="4" t="n">
        <f aca="false">IF(COUNT('Data 1'!G2:G241)=0,0,AVERAGE('Data 1'!G2:G241))</f>
        <v>5478.29166666667</v>
      </c>
      <c r="F7" s="0" t="n">
        <f aca="false">COUNT('Data 1'!G2:G241)</f>
        <v>240</v>
      </c>
      <c r="G7" s="3" t="s">
        <v>36</v>
      </c>
      <c r="H7" s="3" t="s">
        <v>37</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25</v>
      </c>
      <c r="B1" s="1" t="s">
        <v>44</v>
      </c>
      <c r="C1" s="1" t="s">
        <v>45</v>
      </c>
      <c r="D1" s="1" t="s">
        <v>27</v>
      </c>
      <c r="E1" s="1" t="s">
        <v>46</v>
      </c>
      <c r="F1" s="1" t="s">
        <v>47</v>
      </c>
    </row>
    <row r="2" customFormat="false" ht="45" hidden="false" customHeight="true" outlineLevel="0" collapsed="false">
      <c r="A2" s="3" t="s">
        <v>33</v>
      </c>
      <c r="B2" s="3" t="s">
        <v>48</v>
      </c>
      <c r="C2" s="3" t="s">
        <v>49</v>
      </c>
      <c r="D2" s="3"/>
      <c r="E2" s="3" t="s">
        <v>50</v>
      </c>
      <c r="F2" s="3"/>
    </row>
    <row r="3" customFormat="false" ht="45" hidden="false" customHeight="true" outlineLevel="0" collapsed="false">
      <c r="A3" s="3" t="s">
        <v>33</v>
      </c>
      <c r="B3" s="3" t="s">
        <v>34</v>
      </c>
      <c r="C3" s="3" t="s">
        <v>51</v>
      </c>
      <c r="D3" s="3" t="s">
        <v>35</v>
      </c>
      <c r="E3" s="3" t="s">
        <v>52</v>
      </c>
      <c r="F3" s="3"/>
    </row>
    <row r="4" customFormat="false" ht="45" hidden="false" customHeight="true" outlineLevel="0" collapsed="false">
      <c r="A4" s="3" t="s">
        <v>33</v>
      </c>
      <c r="B4" s="3" t="s">
        <v>38</v>
      </c>
      <c r="C4" s="3" t="s">
        <v>53</v>
      </c>
      <c r="D4" s="3" t="s">
        <v>35</v>
      </c>
      <c r="E4" s="3" t="s">
        <v>52</v>
      </c>
      <c r="F4" s="3"/>
    </row>
    <row r="5" customFormat="false" ht="45" hidden="false" customHeight="true" outlineLevel="0" collapsed="false">
      <c r="A5" s="3" t="s">
        <v>33</v>
      </c>
      <c r="B5" s="3" t="s">
        <v>39</v>
      </c>
      <c r="C5" s="3" t="s">
        <v>54</v>
      </c>
      <c r="D5" s="3" t="s">
        <v>35</v>
      </c>
      <c r="E5" s="3" t="s">
        <v>52</v>
      </c>
      <c r="F5" s="3"/>
    </row>
    <row r="6" customFormat="false" ht="45" hidden="false" customHeight="true" outlineLevel="0" collapsed="false">
      <c r="A6" s="3" t="s">
        <v>33</v>
      </c>
      <c r="B6" s="3" t="s">
        <v>40</v>
      </c>
      <c r="C6" s="3" t="s">
        <v>55</v>
      </c>
      <c r="D6" s="3" t="s">
        <v>35</v>
      </c>
      <c r="E6" s="3" t="s">
        <v>52</v>
      </c>
      <c r="F6" s="3"/>
    </row>
    <row r="7" customFormat="false" ht="45" hidden="false" customHeight="true" outlineLevel="0" collapsed="false">
      <c r="A7" s="3" t="s">
        <v>33</v>
      </c>
      <c r="B7" s="3" t="s">
        <v>41</v>
      </c>
      <c r="C7" s="3" t="s">
        <v>56</v>
      </c>
      <c r="D7" s="3" t="s">
        <v>42</v>
      </c>
      <c r="E7" s="3" t="s">
        <v>57</v>
      </c>
      <c r="F7" s="3"/>
    </row>
    <row r="8" customFormat="false" ht="45" hidden="false" customHeight="true" outlineLevel="0" collapsed="false">
      <c r="A8" s="3" t="s">
        <v>33</v>
      </c>
      <c r="B8" s="3" t="s">
        <v>43</v>
      </c>
      <c r="C8" s="3" t="s">
        <v>58</v>
      </c>
      <c r="D8" s="3" t="s">
        <v>42</v>
      </c>
      <c r="E8" s="3" t="s">
        <v>57</v>
      </c>
      <c r="F8" s="3"/>
    </row>
    <row r="9" customFormat="false" ht="45" hidden="false" customHeight="true" outlineLevel="0" collapsed="false">
      <c r="A9" s="3" t="s">
        <v>33</v>
      </c>
      <c r="B9" s="3" t="s">
        <v>59</v>
      </c>
      <c r="C9" s="3" t="s">
        <v>60</v>
      </c>
      <c r="D9" s="3"/>
      <c r="E9" s="3" t="s">
        <v>61</v>
      </c>
      <c r="F9" s="3"/>
    </row>
    <row r="10" customFormat="false" ht="45" hidden="false" customHeight="true" outlineLevel="0" collapsed="false">
      <c r="A10" s="3" t="s">
        <v>33</v>
      </c>
      <c r="B10" s="3" t="s">
        <v>62</v>
      </c>
      <c r="C10" s="3" t="s">
        <v>63</v>
      </c>
      <c r="D10" s="3"/>
      <c r="E10" s="3" t="s">
        <v>64</v>
      </c>
      <c r="F10" s="3"/>
    </row>
    <row r="11" customFormat="false" ht="45" hidden="false" customHeight="true" outlineLevel="0" collapsed="false">
      <c r="A11" s="3" t="s">
        <v>33</v>
      </c>
      <c r="B11" s="3" t="s">
        <v>65</v>
      </c>
      <c r="C11" s="3" t="s">
        <v>66</v>
      </c>
      <c r="D11" s="3"/>
      <c r="E11" s="3" t="s">
        <v>64</v>
      </c>
      <c r="F11"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0" min="1" style="0" width="25"/>
  </cols>
  <sheetData>
    <row r="1" customFormat="false" ht="15" hidden="false" customHeight="false" outlineLevel="0" collapsed="false">
      <c r="A1" s="1" t="s">
        <v>48</v>
      </c>
      <c r="B1" s="1" t="s">
        <v>34</v>
      </c>
      <c r="C1" s="1" t="s">
        <v>38</v>
      </c>
      <c r="D1" s="1" t="s">
        <v>39</v>
      </c>
      <c r="E1" s="1" t="s">
        <v>40</v>
      </c>
      <c r="F1" s="1" t="s">
        <v>41</v>
      </c>
      <c r="G1" s="1" t="s">
        <v>43</v>
      </c>
      <c r="H1" s="1" t="s">
        <v>59</v>
      </c>
      <c r="I1" s="1" t="s">
        <v>62</v>
      </c>
      <c r="J1" s="1" t="s">
        <v>65</v>
      </c>
    </row>
    <row r="2" customFormat="false" ht="15" hidden="false" customHeight="false" outlineLevel="0" collapsed="false">
      <c r="A2" s="3" t="s">
        <v>49</v>
      </c>
      <c r="B2" s="0" t="n">
        <v>5084</v>
      </c>
      <c r="C2" s="0" t="n">
        <v>4931</v>
      </c>
      <c r="E2" s="0" t="n">
        <v>153</v>
      </c>
      <c r="F2" s="0" t="n">
        <v>16863.4</v>
      </c>
      <c r="G2" s="0" t="n">
        <v>5419.7</v>
      </c>
      <c r="H2" s="3" t="s">
        <v>36</v>
      </c>
      <c r="I2" s="3" t="s">
        <v>67</v>
      </c>
      <c r="J2" s="3" t="s">
        <v>68</v>
      </c>
    </row>
    <row r="3" customFormat="false" ht="15" hidden="false" customHeight="false" outlineLevel="0" collapsed="false">
      <c r="A3" s="3" t="s">
        <v>69</v>
      </c>
      <c r="B3" s="0" t="n">
        <v>5168</v>
      </c>
      <c r="C3" s="0" t="n">
        <v>4972</v>
      </c>
      <c r="E3" s="0" t="n">
        <v>196</v>
      </c>
      <c r="F3" s="0" t="n">
        <v>17303.4</v>
      </c>
      <c r="G3" s="0" t="n">
        <v>4644.7</v>
      </c>
      <c r="H3" s="3" t="s">
        <v>70</v>
      </c>
      <c r="I3" s="3" t="s">
        <v>67</v>
      </c>
      <c r="J3" s="3" t="s">
        <v>68</v>
      </c>
    </row>
    <row r="4" customFormat="false" ht="15" hidden="false" customHeight="false" outlineLevel="0" collapsed="false">
      <c r="A4" s="3" t="s">
        <v>71</v>
      </c>
      <c r="B4" s="0" t="n">
        <v>21993</v>
      </c>
      <c r="C4" s="0" t="n">
        <v>6401</v>
      </c>
      <c r="D4" s="0" t="n">
        <v>15395</v>
      </c>
      <c r="E4" s="0" t="n">
        <v>197</v>
      </c>
      <c r="F4" s="0" t="n">
        <v>21547</v>
      </c>
      <c r="G4" s="0" t="n">
        <v>6157.5</v>
      </c>
      <c r="H4" s="3" t="s">
        <v>72</v>
      </c>
      <c r="I4" s="3" t="s">
        <v>67</v>
      </c>
      <c r="J4" s="3" t="s">
        <v>68</v>
      </c>
    </row>
    <row r="5" customFormat="false" ht="15" hidden="false" customHeight="false" outlineLevel="0" collapsed="false">
      <c r="A5" s="3" t="s">
        <v>73</v>
      </c>
      <c r="B5" s="0" t="n">
        <v>26704</v>
      </c>
      <c r="C5" s="0" t="n">
        <v>7768</v>
      </c>
      <c r="D5" s="0" t="n">
        <v>18693</v>
      </c>
      <c r="E5" s="0" t="n">
        <v>243</v>
      </c>
      <c r="F5" s="0" t="n">
        <v>25655.5</v>
      </c>
      <c r="G5" s="0" t="n">
        <v>6694.9</v>
      </c>
      <c r="H5" s="3" t="s">
        <v>74</v>
      </c>
      <c r="I5" s="3" t="s">
        <v>67</v>
      </c>
      <c r="J5" s="3" t="s">
        <v>68</v>
      </c>
    </row>
    <row r="6" customFormat="false" ht="15" hidden="false" customHeight="false" outlineLevel="0" collapsed="false">
      <c r="A6" s="3" t="s">
        <v>75</v>
      </c>
      <c r="B6" s="0" t="n">
        <v>31019</v>
      </c>
      <c r="C6" s="0" t="n">
        <v>8950</v>
      </c>
      <c r="D6" s="0" t="n">
        <v>21713</v>
      </c>
      <c r="E6" s="0" t="n">
        <v>356</v>
      </c>
      <c r="F6" s="0" t="n">
        <v>31117.4</v>
      </c>
      <c r="G6" s="0" t="n">
        <v>7691.8</v>
      </c>
      <c r="H6" s="3" t="s">
        <v>76</v>
      </c>
      <c r="I6" s="3" t="s">
        <v>67</v>
      </c>
      <c r="J6" s="3" t="s">
        <v>68</v>
      </c>
    </row>
    <row r="7" customFormat="false" ht="15" hidden="false" customHeight="false" outlineLevel="0" collapsed="false">
      <c r="A7" s="3" t="s">
        <v>77</v>
      </c>
      <c r="B7" s="0" t="n">
        <v>81820</v>
      </c>
      <c r="C7" s="0" t="n">
        <v>22582</v>
      </c>
      <c r="D7" s="0" t="n">
        <v>57274</v>
      </c>
      <c r="E7" s="0" t="n">
        <v>1964</v>
      </c>
      <c r="F7" s="0" t="n">
        <v>74886.7</v>
      </c>
      <c r="G7" s="0" t="n">
        <v>41400.3</v>
      </c>
      <c r="H7" s="3" t="s">
        <v>78</v>
      </c>
      <c r="I7" s="3" t="s">
        <v>67</v>
      </c>
      <c r="J7" s="3" t="s">
        <v>68</v>
      </c>
    </row>
    <row r="8" customFormat="false" ht="15" hidden="false" customHeight="false" outlineLevel="0" collapsed="false">
      <c r="A8" s="3" t="s">
        <v>79</v>
      </c>
      <c r="B8" s="0" t="n">
        <v>27976</v>
      </c>
      <c r="C8" s="0" t="n">
        <v>8097</v>
      </c>
      <c r="D8" s="0" t="n">
        <v>19583</v>
      </c>
      <c r="E8" s="0" t="n">
        <v>296</v>
      </c>
      <c r="F8" s="0" t="n">
        <v>27921.4</v>
      </c>
      <c r="G8" s="0" t="n">
        <v>7620.4</v>
      </c>
      <c r="H8" s="3" t="s">
        <v>80</v>
      </c>
      <c r="I8" s="3" t="s">
        <v>67</v>
      </c>
      <c r="J8" s="3" t="s">
        <v>68</v>
      </c>
    </row>
    <row r="9" customFormat="false" ht="15" hidden="false" customHeight="false" outlineLevel="0" collapsed="false">
      <c r="A9" s="3" t="s">
        <v>81</v>
      </c>
      <c r="B9" s="0" t="n">
        <v>24981</v>
      </c>
      <c r="C9" s="0" t="n">
        <v>7221</v>
      </c>
      <c r="D9" s="0" t="n">
        <v>17487</v>
      </c>
      <c r="E9" s="0" t="n">
        <v>273</v>
      </c>
      <c r="F9" s="0" t="n">
        <v>24604.4</v>
      </c>
      <c r="G9" s="0" t="n">
        <v>7585</v>
      </c>
      <c r="H9" s="3" t="s">
        <v>82</v>
      </c>
      <c r="I9" s="3" t="s">
        <v>67</v>
      </c>
      <c r="J9" s="3" t="s">
        <v>68</v>
      </c>
    </row>
    <row r="10" customFormat="false" ht="15" hidden="false" customHeight="false" outlineLevel="0" collapsed="false">
      <c r="A10" s="3" t="s">
        <v>83</v>
      </c>
      <c r="B10" s="0" t="n">
        <v>22669</v>
      </c>
      <c r="C10" s="0" t="n">
        <v>6525</v>
      </c>
      <c r="D10" s="0" t="n">
        <v>15868</v>
      </c>
      <c r="E10" s="0" t="n">
        <v>276</v>
      </c>
      <c r="F10" s="0" t="n">
        <v>22595.3</v>
      </c>
      <c r="G10" s="0" t="n">
        <v>6091.8</v>
      </c>
      <c r="H10" s="3" t="s">
        <v>84</v>
      </c>
      <c r="I10" s="3" t="s">
        <v>67</v>
      </c>
      <c r="J10" s="3" t="s">
        <v>68</v>
      </c>
    </row>
    <row r="11" customFormat="false" ht="15" hidden="false" customHeight="false" outlineLevel="0" collapsed="false">
      <c r="A11" s="3" t="s">
        <v>85</v>
      </c>
      <c r="B11" s="0" t="n">
        <v>19632</v>
      </c>
      <c r="C11" s="0" t="n">
        <v>5714</v>
      </c>
      <c r="D11" s="0" t="n">
        <v>13742</v>
      </c>
      <c r="E11" s="0" t="n">
        <v>176</v>
      </c>
      <c r="F11" s="0" t="n">
        <v>19576.1</v>
      </c>
      <c r="G11" s="0" t="n">
        <v>5160.2</v>
      </c>
      <c r="H11" s="3" t="s">
        <v>86</v>
      </c>
      <c r="I11" s="3" t="s">
        <v>67</v>
      </c>
      <c r="J11" s="3" t="s">
        <v>68</v>
      </c>
    </row>
    <row r="12" customFormat="false" ht="15" hidden="false" customHeight="false" outlineLevel="0" collapsed="false">
      <c r="A12" s="3" t="s">
        <v>87</v>
      </c>
      <c r="B12" s="0" t="n">
        <v>20305</v>
      </c>
      <c r="C12" s="0" t="n">
        <v>5881</v>
      </c>
      <c r="D12" s="0" t="n">
        <v>14214</v>
      </c>
      <c r="E12" s="0" t="n">
        <v>210</v>
      </c>
      <c r="F12" s="0" t="n">
        <v>20048.3</v>
      </c>
      <c r="G12" s="0" t="n">
        <v>4748</v>
      </c>
      <c r="H12" s="3" t="s">
        <v>88</v>
      </c>
      <c r="I12" s="3" t="s">
        <v>67</v>
      </c>
      <c r="J12" s="3" t="s">
        <v>68</v>
      </c>
    </row>
    <row r="13" customFormat="false" ht="15" hidden="false" customHeight="false" outlineLevel="0" collapsed="false">
      <c r="A13" s="3" t="s">
        <v>89</v>
      </c>
      <c r="B13" s="0" t="n">
        <v>20493</v>
      </c>
      <c r="C13" s="0" t="n">
        <v>5934</v>
      </c>
      <c r="D13" s="0" t="n">
        <v>14345</v>
      </c>
      <c r="E13" s="0" t="n">
        <v>214</v>
      </c>
      <c r="F13" s="0" t="n">
        <v>19653.6</v>
      </c>
      <c r="G13" s="0" t="n">
        <v>5594.2</v>
      </c>
      <c r="H13" s="3" t="s">
        <v>90</v>
      </c>
      <c r="I13" s="3" t="s">
        <v>67</v>
      </c>
      <c r="J13" s="3" t="s">
        <v>68</v>
      </c>
    </row>
    <row r="14" customFormat="false" ht="15" hidden="false" customHeight="false" outlineLevel="0" collapsed="false">
      <c r="A14" s="3" t="s">
        <v>91</v>
      </c>
      <c r="B14" s="0" t="n">
        <v>16936</v>
      </c>
      <c r="C14" s="0" t="n">
        <v>4236</v>
      </c>
      <c r="D14" s="0" t="n">
        <v>12532</v>
      </c>
      <c r="E14" s="0" t="n">
        <v>168</v>
      </c>
      <c r="F14" s="0" t="n">
        <v>14017.6</v>
      </c>
      <c r="G14" s="0" t="n">
        <v>3642.2</v>
      </c>
      <c r="H14" s="3" t="s">
        <v>92</v>
      </c>
      <c r="I14" s="3" t="s">
        <v>67</v>
      </c>
      <c r="J14" s="3" t="s">
        <v>68</v>
      </c>
    </row>
    <row r="15" customFormat="false" ht="15" hidden="false" customHeight="false" outlineLevel="0" collapsed="false">
      <c r="A15" s="3" t="s">
        <v>93</v>
      </c>
      <c r="B15" s="0" t="n">
        <v>17080</v>
      </c>
      <c r="C15" s="0" t="n">
        <v>4293</v>
      </c>
      <c r="D15" s="0" t="n">
        <v>12639</v>
      </c>
      <c r="E15" s="0" t="n">
        <v>148</v>
      </c>
      <c r="F15" s="0" t="n">
        <v>14784.7</v>
      </c>
      <c r="G15" s="0" t="n">
        <v>4553.2</v>
      </c>
      <c r="H15" s="3" t="s">
        <v>94</v>
      </c>
      <c r="I15" s="3" t="s">
        <v>67</v>
      </c>
      <c r="J15" s="3" t="s">
        <v>68</v>
      </c>
    </row>
    <row r="16" customFormat="false" ht="15" hidden="false" customHeight="false" outlineLevel="0" collapsed="false">
      <c r="A16" s="3" t="s">
        <v>95</v>
      </c>
      <c r="B16" s="0" t="n">
        <v>22856</v>
      </c>
      <c r="C16" s="0" t="n">
        <v>5764</v>
      </c>
      <c r="D16" s="0" t="n">
        <v>16913</v>
      </c>
      <c r="E16" s="0" t="n">
        <v>179</v>
      </c>
      <c r="F16" s="0" t="n">
        <v>19251.7</v>
      </c>
      <c r="G16" s="0" t="n">
        <v>4788.2</v>
      </c>
      <c r="H16" s="3" t="s">
        <v>96</v>
      </c>
      <c r="I16" s="3" t="s">
        <v>67</v>
      </c>
      <c r="J16" s="3" t="s">
        <v>68</v>
      </c>
    </row>
    <row r="17" customFormat="false" ht="15" hidden="false" customHeight="false" outlineLevel="0" collapsed="false">
      <c r="A17" s="3" t="s">
        <v>97</v>
      </c>
      <c r="B17" s="0" t="n">
        <v>25231</v>
      </c>
      <c r="C17" s="0" t="n">
        <v>6285</v>
      </c>
      <c r="D17" s="0" t="n">
        <v>18671</v>
      </c>
      <c r="E17" s="0" t="n">
        <v>275</v>
      </c>
      <c r="F17" s="0" t="n">
        <v>21060.5</v>
      </c>
      <c r="G17" s="0" t="n">
        <v>6903.7</v>
      </c>
      <c r="H17" s="3" t="s">
        <v>98</v>
      </c>
      <c r="I17" s="3" t="s">
        <v>67</v>
      </c>
      <c r="J17" s="3" t="s">
        <v>68</v>
      </c>
    </row>
    <row r="18" customFormat="false" ht="15" hidden="false" customHeight="false" outlineLevel="0" collapsed="false">
      <c r="A18" s="3" t="s">
        <v>99</v>
      </c>
      <c r="B18" s="0" t="n">
        <v>161557</v>
      </c>
      <c r="C18" s="0" t="n">
        <v>29856</v>
      </c>
      <c r="D18" s="0" t="n">
        <v>126014</v>
      </c>
      <c r="E18" s="0" t="n">
        <v>5687</v>
      </c>
      <c r="F18" s="0" t="n">
        <v>100231</v>
      </c>
      <c r="G18" s="0" t="n">
        <v>115713.6</v>
      </c>
      <c r="H18" s="3" t="s">
        <v>100</v>
      </c>
      <c r="I18" s="3" t="s">
        <v>67</v>
      </c>
      <c r="J18" s="3" t="s">
        <v>68</v>
      </c>
    </row>
    <row r="19" customFormat="false" ht="15" hidden="false" customHeight="false" outlineLevel="0" collapsed="false">
      <c r="A19" s="3" t="s">
        <v>101</v>
      </c>
      <c r="B19" s="0" t="n">
        <v>46612</v>
      </c>
      <c r="C19" s="0" t="n">
        <v>11670</v>
      </c>
      <c r="D19" s="0" t="n">
        <v>34493</v>
      </c>
      <c r="E19" s="0" t="n">
        <v>449</v>
      </c>
      <c r="F19" s="0" t="n">
        <v>39459.7</v>
      </c>
      <c r="G19" s="0" t="n">
        <v>14647.8</v>
      </c>
      <c r="H19" s="3" t="s">
        <v>102</v>
      </c>
      <c r="I19" s="3" t="s">
        <v>67</v>
      </c>
      <c r="J19" s="3" t="s">
        <v>68</v>
      </c>
    </row>
    <row r="20" customFormat="false" ht="15" hidden="false" customHeight="false" outlineLevel="0" collapsed="false">
      <c r="A20" s="3" t="s">
        <v>103</v>
      </c>
      <c r="B20" s="0" t="n">
        <v>28596</v>
      </c>
      <c r="C20" s="0" t="n">
        <v>7202</v>
      </c>
      <c r="D20" s="0" t="n">
        <v>21161</v>
      </c>
      <c r="E20" s="0" t="n">
        <v>233</v>
      </c>
      <c r="F20" s="0" t="n">
        <v>24835.8</v>
      </c>
      <c r="G20" s="0" t="n">
        <v>6560.4</v>
      </c>
      <c r="H20" s="3" t="s">
        <v>104</v>
      </c>
      <c r="I20" s="3" t="s">
        <v>67</v>
      </c>
      <c r="J20" s="3" t="s">
        <v>68</v>
      </c>
    </row>
    <row r="21" customFormat="false" ht="15" hidden="false" customHeight="false" outlineLevel="0" collapsed="false">
      <c r="A21" s="3" t="s">
        <v>105</v>
      </c>
      <c r="B21" s="0" t="n">
        <v>26964</v>
      </c>
      <c r="C21" s="0" t="n">
        <v>6800</v>
      </c>
      <c r="D21" s="0" t="n">
        <v>19953</v>
      </c>
      <c r="E21" s="0" t="n">
        <v>211</v>
      </c>
      <c r="F21" s="0" t="n">
        <v>23430.2</v>
      </c>
      <c r="G21" s="0" t="n">
        <v>7373.4</v>
      </c>
      <c r="H21" s="3" t="s">
        <v>106</v>
      </c>
      <c r="I21" s="3" t="s">
        <v>67</v>
      </c>
      <c r="J21" s="3" t="s">
        <v>68</v>
      </c>
    </row>
    <row r="22" customFormat="false" ht="15" hidden="false" customHeight="false" outlineLevel="0" collapsed="false">
      <c r="A22" s="3" t="s">
        <v>107</v>
      </c>
      <c r="B22" s="0" t="n">
        <v>1031</v>
      </c>
      <c r="C22" s="0" t="n">
        <v>1011</v>
      </c>
      <c r="E22" s="0" t="n">
        <v>20</v>
      </c>
      <c r="F22" s="0" t="n">
        <v>4553.1</v>
      </c>
      <c r="G22" s="0" t="n">
        <v>950.3</v>
      </c>
      <c r="H22" s="3" t="s">
        <v>36</v>
      </c>
      <c r="I22" s="3" t="s">
        <v>67</v>
      </c>
      <c r="J22" s="3" t="s">
        <v>108</v>
      </c>
    </row>
    <row r="23" customFormat="false" ht="15" hidden="false" customHeight="false" outlineLevel="0" collapsed="false">
      <c r="A23" s="3" t="s">
        <v>109</v>
      </c>
      <c r="B23" s="0" t="n">
        <v>1084</v>
      </c>
      <c r="C23" s="0" t="n">
        <v>1065</v>
      </c>
      <c r="E23" s="0" t="n">
        <v>19</v>
      </c>
      <c r="F23" s="0" t="n">
        <v>4796.7</v>
      </c>
      <c r="G23" s="0" t="n">
        <v>1067.1</v>
      </c>
      <c r="H23" s="3" t="s">
        <v>70</v>
      </c>
      <c r="I23" s="3" t="s">
        <v>67</v>
      </c>
      <c r="J23" s="3" t="s">
        <v>108</v>
      </c>
    </row>
    <row r="24" customFormat="false" ht="15" hidden="false" customHeight="false" outlineLevel="0" collapsed="false">
      <c r="A24" s="3" t="s">
        <v>110</v>
      </c>
      <c r="B24" s="0" t="n">
        <v>1435</v>
      </c>
      <c r="C24" s="0" t="n">
        <v>1336</v>
      </c>
      <c r="D24" s="0" t="n">
        <v>72</v>
      </c>
      <c r="E24" s="0" t="n">
        <v>27</v>
      </c>
      <c r="F24" s="0" t="n">
        <v>6104.1</v>
      </c>
      <c r="G24" s="0" t="n">
        <v>1382.1</v>
      </c>
      <c r="H24" s="3" t="s">
        <v>72</v>
      </c>
      <c r="I24" s="3" t="s">
        <v>67</v>
      </c>
      <c r="J24" s="3" t="s">
        <v>108</v>
      </c>
    </row>
    <row r="25" customFormat="false" ht="15" hidden="false" customHeight="false" outlineLevel="0" collapsed="false">
      <c r="A25" s="3" t="s">
        <v>111</v>
      </c>
      <c r="B25" s="0" t="n">
        <v>1657</v>
      </c>
      <c r="C25" s="0" t="n">
        <v>1540</v>
      </c>
      <c r="D25" s="0" t="n">
        <v>83</v>
      </c>
      <c r="E25" s="0" t="n">
        <v>34</v>
      </c>
      <c r="F25" s="0" t="n">
        <v>7262.2</v>
      </c>
      <c r="G25" s="0" t="n">
        <v>1464.6</v>
      </c>
      <c r="H25" s="3" t="s">
        <v>74</v>
      </c>
      <c r="I25" s="3" t="s">
        <v>67</v>
      </c>
      <c r="J25" s="3" t="s">
        <v>108</v>
      </c>
    </row>
    <row r="26" customFormat="false" ht="15" hidden="false" customHeight="false" outlineLevel="0" collapsed="false">
      <c r="A26" s="3" t="s">
        <v>112</v>
      </c>
      <c r="B26" s="0" t="n">
        <v>2052</v>
      </c>
      <c r="C26" s="0" t="n">
        <v>1912</v>
      </c>
      <c r="D26" s="0" t="n">
        <v>103</v>
      </c>
      <c r="E26" s="0" t="n">
        <v>37</v>
      </c>
      <c r="F26" s="0" t="n">
        <v>8565.3</v>
      </c>
      <c r="G26" s="0" t="n">
        <v>2030.4</v>
      </c>
      <c r="H26" s="3" t="s">
        <v>76</v>
      </c>
      <c r="I26" s="3" t="s">
        <v>67</v>
      </c>
      <c r="J26" s="3" t="s">
        <v>108</v>
      </c>
    </row>
    <row r="27" customFormat="false" ht="15" hidden="false" customHeight="false" outlineLevel="0" collapsed="false">
      <c r="A27" s="3" t="s">
        <v>113</v>
      </c>
      <c r="B27" s="0" t="n">
        <v>5725</v>
      </c>
      <c r="C27" s="0" t="n">
        <v>5332</v>
      </c>
      <c r="D27" s="0" t="n">
        <v>286</v>
      </c>
      <c r="E27" s="0" t="n">
        <v>107</v>
      </c>
      <c r="F27" s="0" t="n">
        <v>24717.2</v>
      </c>
      <c r="G27" s="0" t="n">
        <v>5460.6</v>
      </c>
      <c r="H27" s="3" t="s">
        <v>78</v>
      </c>
      <c r="I27" s="3" t="s">
        <v>67</v>
      </c>
      <c r="J27" s="3" t="s">
        <v>108</v>
      </c>
    </row>
    <row r="28" customFormat="false" ht="15" hidden="false" customHeight="false" outlineLevel="0" collapsed="false">
      <c r="A28" s="3" t="s">
        <v>114</v>
      </c>
      <c r="B28" s="0" t="n">
        <v>1884</v>
      </c>
      <c r="C28" s="0" t="n">
        <v>1756</v>
      </c>
      <c r="D28" s="0" t="n">
        <v>94</v>
      </c>
      <c r="E28" s="0" t="n">
        <v>34</v>
      </c>
      <c r="F28" s="0" t="n">
        <v>8068</v>
      </c>
      <c r="G28" s="0" t="n">
        <v>1768.9</v>
      </c>
      <c r="H28" s="3" t="s">
        <v>80</v>
      </c>
      <c r="I28" s="3" t="s">
        <v>67</v>
      </c>
      <c r="J28" s="3" t="s">
        <v>108</v>
      </c>
    </row>
    <row r="29" customFormat="false" ht="15" hidden="false" customHeight="false" outlineLevel="0" collapsed="false">
      <c r="A29" s="3" t="s">
        <v>115</v>
      </c>
      <c r="B29" s="0" t="n">
        <v>1713</v>
      </c>
      <c r="C29" s="0" t="n">
        <v>1598</v>
      </c>
      <c r="D29" s="0" t="n">
        <v>86</v>
      </c>
      <c r="E29" s="0" t="n">
        <v>29</v>
      </c>
      <c r="F29" s="0" t="n">
        <v>7428.1</v>
      </c>
      <c r="G29" s="0" t="n">
        <v>1694.2</v>
      </c>
      <c r="H29" s="3" t="s">
        <v>82</v>
      </c>
      <c r="I29" s="3" t="s">
        <v>67</v>
      </c>
      <c r="J29" s="3" t="s">
        <v>108</v>
      </c>
    </row>
    <row r="30" customFormat="false" ht="15" hidden="false" customHeight="false" outlineLevel="0" collapsed="false">
      <c r="A30" s="3" t="s">
        <v>116</v>
      </c>
      <c r="B30" s="0" t="n">
        <v>1515</v>
      </c>
      <c r="C30" s="0" t="n">
        <v>1413</v>
      </c>
      <c r="D30" s="0" t="n">
        <v>76</v>
      </c>
      <c r="E30" s="0" t="n">
        <v>26</v>
      </c>
      <c r="F30" s="0" t="n">
        <v>6400.8</v>
      </c>
      <c r="G30" s="0" t="n">
        <v>1502.8</v>
      </c>
      <c r="H30" s="3" t="s">
        <v>84</v>
      </c>
      <c r="I30" s="3" t="s">
        <v>67</v>
      </c>
      <c r="J30" s="3" t="s">
        <v>108</v>
      </c>
    </row>
    <row r="31" customFormat="false" ht="15" hidden="false" customHeight="false" outlineLevel="0" collapsed="false">
      <c r="A31" s="3" t="s">
        <v>117</v>
      </c>
      <c r="B31" s="0" t="n">
        <v>1292</v>
      </c>
      <c r="C31" s="0" t="n">
        <v>1200</v>
      </c>
      <c r="D31" s="0" t="n">
        <v>65</v>
      </c>
      <c r="E31" s="0" t="n">
        <v>27</v>
      </c>
      <c r="F31" s="0" t="n">
        <v>5670.8</v>
      </c>
      <c r="G31" s="0" t="n">
        <v>1213.6</v>
      </c>
      <c r="H31" s="3" t="s">
        <v>86</v>
      </c>
      <c r="I31" s="3" t="s">
        <v>67</v>
      </c>
      <c r="J31" s="3" t="s">
        <v>108</v>
      </c>
    </row>
    <row r="32" customFormat="false" ht="15" hidden="false" customHeight="false" outlineLevel="0" collapsed="false">
      <c r="A32" s="3" t="s">
        <v>118</v>
      </c>
      <c r="B32" s="0" t="n">
        <v>1295</v>
      </c>
      <c r="C32" s="0" t="n">
        <v>1203</v>
      </c>
      <c r="D32" s="0" t="n">
        <v>65</v>
      </c>
      <c r="E32" s="0" t="n">
        <v>27</v>
      </c>
      <c r="F32" s="0" t="n">
        <v>5384.1</v>
      </c>
      <c r="G32" s="0" t="n">
        <v>1239.7</v>
      </c>
      <c r="H32" s="3" t="s">
        <v>88</v>
      </c>
      <c r="I32" s="3" t="s">
        <v>67</v>
      </c>
      <c r="J32" s="3" t="s">
        <v>108</v>
      </c>
    </row>
    <row r="33" customFormat="false" ht="15" hidden="false" customHeight="false" outlineLevel="0" collapsed="false">
      <c r="A33" s="3" t="s">
        <v>119</v>
      </c>
      <c r="B33" s="0" t="n">
        <v>1290</v>
      </c>
      <c r="C33" s="0" t="n">
        <v>1198</v>
      </c>
      <c r="D33" s="0" t="n">
        <v>64</v>
      </c>
      <c r="E33" s="0" t="n">
        <v>28</v>
      </c>
      <c r="F33" s="0" t="n">
        <v>5419.6</v>
      </c>
      <c r="G33" s="0" t="n">
        <v>964.3</v>
      </c>
      <c r="H33" s="3" t="s">
        <v>90</v>
      </c>
      <c r="I33" s="3" t="s">
        <v>67</v>
      </c>
      <c r="J33" s="3" t="s">
        <v>108</v>
      </c>
    </row>
    <row r="34" customFormat="false" ht="15" hidden="false" customHeight="false" outlineLevel="0" collapsed="false">
      <c r="A34" s="3" t="s">
        <v>120</v>
      </c>
      <c r="B34" s="0" t="n">
        <v>1128</v>
      </c>
      <c r="C34" s="0" t="n">
        <v>1008</v>
      </c>
      <c r="D34" s="0" t="n">
        <v>101</v>
      </c>
      <c r="E34" s="0" t="n">
        <v>19</v>
      </c>
      <c r="F34" s="0" t="n">
        <v>4623.9</v>
      </c>
      <c r="G34" s="0" t="n">
        <v>806.7</v>
      </c>
      <c r="H34" s="3" t="s">
        <v>92</v>
      </c>
      <c r="I34" s="3" t="s">
        <v>67</v>
      </c>
      <c r="J34" s="3" t="s">
        <v>108</v>
      </c>
    </row>
    <row r="35" customFormat="false" ht="15" hidden="false" customHeight="false" outlineLevel="0" collapsed="false">
      <c r="A35" s="3" t="s">
        <v>121</v>
      </c>
      <c r="B35" s="0" t="n">
        <v>1147</v>
      </c>
      <c r="C35" s="0" t="n">
        <v>1019</v>
      </c>
      <c r="D35" s="0" t="n">
        <v>103</v>
      </c>
      <c r="E35" s="0" t="n">
        <v>25</v>
      </c>
      <c r="F35" s="0" t="n">
        <v>4606.5</v>
      </c>
      <c r="G35" s="0" t="n">
        <v>1062.9</v>
      </c>
      <c r="H35" s="3" t="s">
        <v>94</v>
      </c>
      <c r="I35" s="3" t="s">
        <v>67</v>
      </c>
      <c r="J35" s="3" t="s">
        <v>108</v>
      </c>
    </row>
    <row r="36" customFormat="false" ht="15" hidden="false" customHeight="false" outlineLevel="0" collapsed="false">
      <c r="A36" s="3" t="s">
        <v>122</v>
      </c>
      <c r="B36" s="0" t="n">
        <v>1482</v>
      </c>
      <c r="C36" s="0" t="n">
        <v>1327</v>
      </c>
      <c r="D36" s="0" t="n">
        <v>133</v>
      </c>
      <c r="E36" s="0" t="n">
        <v>22</v>
      </c>
      <c r="F36" s="0" t="n">
        <v>6068.9</v>
      </c>
      <c r="G36" s="0" t="n">
        <v>1365.3</v>
      </c>
      <c r="H36" s="3" t="s">
        <v>96</v>
      </c>
      <c r="I36" s="3" t="s">
        <v>67</v>
      </c>
      <c r="J36" s="3" t="s">
        <v>108</v>
      </c>
    </row>
    <row r="37" customFormat="false" ht="15" hidden="false" customHeight="false" outlineLevel="0" collapsed="false">
      <c r="A37" s="3" t="s">
        <v>123</v>
      </c>
      <c r="B37" s="0" t="n">
        <v>1707</v>
      </c>
      <c r="C37" s="0" t="n">
        <v>1518</v>
      </c>
      <c r="D37" s="0" t="n">
        <v>154</v>
      </c>
      <c r="E37" s="0" t="n">
        <v>35</v>
      </c>
      <c r="F37" s="0" t="n">
        <v>7160.9</v>
      </c>
      <c r="G37" s="0" t="n">
        <v>1593.2</v>
      </c>
      <c r="H37" s="3" t="s">
        <v>98</v>
      </c>
      <c r="I37" s="3" t="s">
        <v>67</v>
      </c>
      <c r="J37" s="3" t="s">
        <v>108</v>
      </c>
    </row>
    <row r="38" customFormat="false" ht="15" hidden="false" customHeight="false" outlineLevel="0" collapsed="false">
      <c r="A38" s="3" t="s">
        <v>124</v>
      </c>
      <c r="B38" s="0" t="n">
        <v>12264</v>
      </c>
      <c r="C38" s="0" t="n">
        <v>10490</v>
      </c>
      <c r="D38" s="0" t="n">
        <v>1104</v>
      </c>
      <c r="E38" s="0" t="n">
        <v>670</v>
      </c>
      <c r="F38" s="0" t="n">
        <v>49087.5</v>
      </c>
      <c r="G38" s="0" t="n">
        <v>7900.4</v>
      </c>
      <c r="H38" s="3" t="s">
        <v>100</v>
      </c>
      <c r="I38" s="3" t="s">
        <v>67</v>
      </c>
      <c r="J38" s="3" t="s">
        <v>108</v>
      </c>
    </row>
    <row r="39" customFormat="false" ht="15" hidden="false" customHeight="false" outlineLevel="0" collapsed="false">
      <c r="A39" s="3" t="s">
        <v>125</v>
      </c>
      <c r="B39" s="0" t="n">
        <v>2274</v>
      </c>
      <c r="C39" s="0" t="n">
        <v>2027</v>
      </c>
      <c r="D39" s="0" t="n">
        <v>205</v>
      </c>
      <c r="E39" s="0" t="n">
        <v>42</v>
      </c>
      <c r="F39" s="0" t="n">
        <v>9479.1</v>
      </c>
      <c r="G39" s="0" t="n">
        <v>2619.9</v>
      </c>
      <c r="H39" s="3" t="s">
        <v>102</v>
      </c>
      <c r="I39" s="3" t="s">
        <v>67</v>
      </c>
      <c r="J39" s="3" t="s">
        <v>108</v>
      </c>
    </row>
    <row r="40" customFormat="false" ht="15" hidden="false" customHeight="false" outlineLevel="0" collapsed="false">
      <c r="A40" s="3" t="s">
        <v>126</v>
      </c>
      <c r="B40" s="0" t="n">
        <v>1870</v>
      </c>
      <c r="C40" s="0" t="n">
        <v>1667</v>
      </c>
      <c r="D40" s="0" t="n">
        <v>168</v>
      </c>
      <c r="E40" s="0" t="n">
        <v>35</v>
      </c>
      <c r="F40" s="0" t="n">
        <v>7670.5</v>
      </c>
      <c r="G40" s="0" t="n">
        <v>1538.3</v>
      </c>
      <c r="H40" s="3" t="s">
        <v>104</v>
      </c>
      <c r="I40" s="3" t="s">
        <v>67</v>
      </c>
      <c r="J40" s="3" t="s">
        <v>108</v>
      </c>
    </row>
    <row r="41" customFormat="false" ht="15" hidden="false" customHeight="false" outlineLevel="0" collapsed="false">
      <c r="A41" s="3" t="s">
        <v>127</v>
      </c>
      <c r="B41" s="0" t="n">
        <v>1717</v>
      </c>
      <c r="C41" s="0" t="n">
        <v>1530</v>
      </c>
      <c r="D41" s="0" t="n">
        <v>155</v>
      </c>
      <c r="E41" s="0" t="n">
        <v>32</v>
      </c>
      <c r="F41" s="0" t="n">
        <v>6945</v>
      </c>
      <c r="G41" s="0" t="n">
        <v>1600.8</v>
      </c>
      <c r="H41" s="3" t="s">
        <v>106</v>
      </c>
      <c r="I41" s="3" t="s">
        <v>67</v>
      </c>
      <c r="J41" s="3" t="s">
        <v>108</v>
      </c>
    </row>
    <row r="42" customFormat="false" ht="15" hidden="false" customHeight="false" outlineLevel="0" collapsed="false">
      <c r="A42" s="3" t="s">
        <v>128</v>
      </c>
      <c r="B42" s="0" t="n">
        <v>5885</v>
      </c>
      <c r="C42" s="0" t="n">
        <v>5653</v>
      </c>
      <c r="E42" s="0" t="n">
        <v>232</v>
      </c>
      <c r="F42" s="0" t="n">
        <v>36290.8</v>
      </c>
      <c r="G42" s="0" t="n">
        <v>5713.3</v>
      </c>
      <c r="H42" s="3" t="s">
        <v>36</v>
      </c>
      <c r="I42" s="3" t="s">
        <v>67</v>
      </c>
      <c r="J42" s="3" t="s">
        <v>129</v>
      </c>
    </row>
    <row r="43" customFormat="false" ht="15" hidden="false" customHeight="false" outlineLevel="0" collapsed="false">
      <c r="A43" s="3" t="s">
        <v>130</v>
      </c>
      <c r="B43" s="0" t="n">
        <v>5276</v>
      </c>
      <c r="C43" s="0" t="n">
        <v>5086</v>
      </c>
      <c r="E43" s="0" t="n">
        <v>190</v>
      </c>
      <c r="F43" s="0" t="n">
        <v>32654.2</v>
      </c>
      <c r="G43" s="0" t="n">
        <v>4750</v>
      </c>
      <c r="H43" s="3" t="s">
        <v>70</v>
      </c>
      <c r="I43" s="3" t="s">
        <v>67</v>
      </c>
      <c r="J43" s="3" t="s">
        <v>129</v>
      </c>
    </row>
    <row r="44" customFormat="false" ht="15" hidden="false" customHeight="false" outlineLevel="0" collapsed="false">
      <c r="A44" s="3" t="s">
        <v>131</v>
      </c>
      <c r="B44" s="0" t="n">
        <v>7709</v>
      </c>
      <c r="C44" s="0" t="n">
        <v>5969</v>
      </c>
      <c r="D44" s="0" t="n">
        <v>1542</v>
      </c>
      <c r="E44" s="0" t="n">
        <v>198</v>
      </c>
      <c r="F44" s="0" t="n">
        <v>38031.8</v>
      </c>
      <c r="G44" s="0" t="n">
        <v>5820.6</v>
      </c>
      <c r="H44" s="3" t="s">
        <v>72</v>
      </c>
      <c r="I44" s="3" t="s">
        <v>67</v>
      </c>
      <c r="J44" s="3" t="s">
        <v>129</v>
      </c>
    </row>
    <row r="45" customFormat="false" ht="15" hidden="false" customHeight="false" outlineLevel="0" collapsed="false">
      <c r="A45" s="3" t="s">
        <v>132</v>
      </c>
      <c r="B45" s="0" t="n">
        <v>7709</v>
      </c>
      <c r="C45" s="0" t="n">
        <v>5947</v>
      </c>
      <c r="D45" s="0" t="n">
        <v>1542</v>
      </c>
      <c r="E45" s="0" t="n">
        <v>220</v>
      </c>
      <c r="F45" s="0" t="n">
        <v>38940.6</v>
      </c>
      <c r="G45" s="0" t="n">
        <v>6464.1</v>
      </c>
      <c r="H45" s="3" t="s">
        <v>74</v>
      </c>
      <c r="I45" s="3" t="s">
        <v>67</v>
      </c>
      <c r="J45" s="3" t="s">
        <v>129</v>
      </c>
    </row>
    <row r="46" customFormat="false" ht="15" hidden="false" customHeight="false" outlineLevel="0" collapsed="false">
      <c r="A46" s="3" t="s">
        <v>133</v>
      </c>
      <c r="B46" s="0" t="n">
        <v>8767</v>
      </c>
      <c r="C46" s="0" t="n">
        <v>6754</v>
      </c>
      <c r="D46" s="0" t="n">
        <v>1753</v>
      </c>
      <c r="E46" s="0" t="n">
        <v>260</v>
      </c>
      <c r="F46" s="0" t="n">
        <v>44267.7</v>
      </c>
      <c r="G46" s="0" t="n">
        <v>6619.1</v>
      </c>
      <c r="H46" s="3" t="s">
        <v>76</v>
      </c>
      <c r="I46" s="3" t="s">
        <v>67</v>
      </c>
      <c r="J46" s="3" t="s">
        <v>129</v>
      </c>
    </row>
    <row r="47" customFormat="false" ht="15" hidden="false" customHeight="false" outlineLevel="0" collapsed="false">
      <c r="A47" s="3" t="s">
        <v>134</v>
      </c>
      <c r="B47" s="0" t="n">
        <v>9363</v>
      </c>
      <c r="C47" s="0" t="n">
        <v>7207</v>
      </c>
      <c r="D47" s="0" t="n">
        <v>1873</v>
      </c>
      <c r="E47" s="0" t="n">
        <v>283</v>
      </c>
      <c r="F47" s="0" t="n">
        <v>46101.5</v>
      </c>
      <c r="G47" s="0" t="n">
        <v>7712.1</v>
      </c>
      <c r="H47" s="3" t="s">
        <v>78</v>
      </c>
      <c r="I47" s="3" t="s">
        <v>67</v>
      </c>
      <c r="J47" s="3" t="s">
        <v>129</v>
      </c>
    </row>
    <row r="48" customFormat="false" ht="15" hidden="false" customHeight="false" outlineLevel="0" collapsed="false">
      <c r="A48" s="3" t="s">
        <v>135</v>
      </c>
      <c r="B48" s="0" t="n">
        <v>9119</v>
      </c>
      <c r="C48" s="0" t="n">
        <v>7045</v>
      </c>
      <c r="D48" s="0" t="n">
        <v>1824</v>
      </c>
      <c r="E48" s="0" t="n">
        <v>250</v>
      </c>
      <c r="F48" s="0" t="n">
        <v>45159</v>
      </c>
      <c r="G48" s="0" t="n">
        <v>6874.4</v>
      </c>
      <c r="H48" s="3" t="s">
        <v>80</v>
      </c>
      <c r="I48" s="3" t="s">
        <v>67</v>
      </c>
      <c r="J48" s="3" t="s">
        <v>129</v>
      </c>
    </row>
    <row r="49" customFormat="false" ht="15" hidden="false" customHeight="false" outlineLevel="0" collapsed="false">
      <c r="A49" s="3" t="s">
        <v>136</v>
      </c>
      <c r="B49" s="0" t="n">
        <v>8527</v>
      </c>
      <c r="C49" s="0" t="n">
        <v>6617</v>
      </c>
      <c r="D49" s="0" t="n">
        <v>1705</v>
      </c>
      <c r="E49" s="0" t="n">
        <v>205</v>
      </c>
      <c r="F49" s="0" t="n">
        <v>41544.6</v>
      </c>
      <c r="G49" s="0" t="n">
        <v>7130.6</v>
      </c>
      <c r="H49" s="3" t="s">
        <v>82</v>
      </c>
      <c r="I49" s="3" t="s">
        <v>67</v>
      </c>
      <c r="J49" s="3" t="s">
        <v>129</v>
      </c>
    </row>
    <row r="50" customFormat="false" ht="15" hidden="false" customHeight="false" outlineLevel="0" collapsed="false">
      <c r="A50" s="3" t="s">
        <v>137</v>
      </c>
      <c r="B50" s="0" t="n">
        <v>7516</v>
      </c>
      <c r="C50" s="0" t="n">
        <v>5806</v>
      </c>
      <c r="D50" s="0" t="n">
        <v>1503</v>
      </c>
      <c r="E50" s="0" t="n">
        <v>207</v>
      </c>
      <c r="F50" s="0" t="n">
        <v>36350.8</v>
      </c>
      <c r="G50" s="0" t="n">
        <v>6206.7</v>
      </c>
      <c r="H50" s="3" t="s">
        <v>84</v>
      </c>
      <c r="I50" s="3" t="s">
        <v>67</v>
      </c>
      <c r="J50" s="3" t="s">
        <v>129</v>
      </c>
    </row>
    <row r="51" customFormat="false" ht="15" hidden="false" customHeight="false" outlineLevel="0" collapsed="false">
      <c r="A51" s="3" t="s">
        <v>138</v>
      </c>
      <c r="B51" s="0" t="n">
        <v>7945</v>
      </c>
      <c r="C51" s="0" t="n">
        <v>6160</v>
      </c>
      <c r="D51" s="0" t="n">
        <v>1589</v>
      </c>
      <c r="E51" s="0" t="n">
        <v>196</v>
      </c>
      <c r="F51" s="0" t="n">
        <v>39089.6</v>
      </c>
      <c r="G51" s="0" t="n">
        <v>5434</v>
      </c>
      <c r="H51" s="3" t="s">
        <v>86</v>
      </c>
      <c r="I51" s="3" t="s">
        <v>67</v>
      </c>
      <c r="J51" s="3" t="s">
        <v>129</v>
      </c>
    </row>
    <row r="52" customFormat="false" ht="15" hidden="false" customHeight="false" outlineLevel="0" collapsed="false">
      <c r="A52" s="3" t="s">
        <v>139</v>
      </c>
      <c r="B52" s="0" t="n">
        <v>7423</v>
      </c>
      <c r="C52" s="0" t="n">
        <v>5718</v>
      </c>
      <c r="D52" s="0" t="n">
        <v>1485</v>
      </c>
      <c r="E52" s="0" t="n">
        <v>220</v>
      </c>
      <c r="F52" s="0" t="n">
        <v>35822.2</v>
      </c>
      <c r="G52" s="0" t="n">
        <v>5496.7</v>
      </c>
      <c r="H52" s="3" t="s">
        <v>88</v>
      </c>
      <c r="I52" s="3" t="s">
        <v>67</v>
      </c>
      <c r="J52" s="3" t="s">
        <v>129</v>
      </c>
    </row>
    <row r="53" customFormat="false" ht="15" hidden="false" customHeight="false" outlineLevel="0" collapsed="false">
      <c r="A53" s="3" t="s">
        <v>140</v>
      </c>
      <c r="B53" s="0" t="n">
        <v>8743</v>
      </c>
      <c r="C53" s="0" t="n">
        <v>6728</v>
      </c>
      <c r="D53" s="0" t="n">
        <v>1749</v>
      </c>
      <c r="E53" s="0" t="n">
        <v>266</v>
      </c>
      <c r="F53" s="0" t="n">
        <v>43517.8</v>
      </c>
      <c r="G53" s="0" t="n">
        <v>6001.3</v>
      </c>
      <c r="H53" s="3" t="s">
        <v>90</v>
      </c>
      <c r="I53" s="3" t="s">
        <v>67</v>
      </c>
      <c r="J53" s="3" t="s">
        <v>129</v>
      </c>
    </row>
    <row r="54" customFormat="false" ht="15" hidden="false" customHeight="false" outlineLevel="0" collapsed="false">
      <c r="A54" s="3" t="s">
        <v>141</v>
      </c>
      <c r="B54" s="0" t="n">
        <v>7428</v>
      </c>
      <c r="C54" s="0" t="n">
        <v>5451</v>
      </c>
      <c r="D54" s="0" t="n">
        <v>1783</v>
      </c>
      <c r="E54" s="0" t="n">
        <v>194</v>
      </c>
      <c r="F54" s="0" t="n">
        <v>34809.1</v>
      </c>
      <c r="G54" s="0" t="n">
        <v>5404.4</v>
      </c>
      <c r="H54" s="3" t="s">
        <v>92</v>
      </c>
      <c r="I54" s="3" t="s">
        <v>67</v>
      </c>
      <c r="J54" s="3" t="s">
        <v>129</v>
      </c>
    </row>
    <row r="55" customFormat="false" ht="15" hidden="false" customHeight="false" outlineLevel="0" collapsed="false">
      <c r="A55" s="3" t="s">
        <v>142</v>
      </c>
      <c r="B55" s="0" t="n">
        <v>6777</v>
      </c>
      <c r="C55" s="0" t="n">
        <v>4939</v>
      </c>
      <c r="D55" s="0" t="n">
        <v>1626</v>
      </c>
      <c r="E55" s="0" t="n">
        <v>212</v>
      </c>
      <c r="F55" s="0" t="n">
        <v>31740</v>
      </c>
      <c r="G55" s="0" t="n">
        <v>5374.2</v>
      </c>
      <c r="H55" s="3" t="s">
        <v>94</v>
      </c>
      <c r="I55" s="3" t="s">
        <v>67</v>
      </c>
      <c r="J55" s="3" t="s">
        <v>129</v>
      </c>
    </row>
    <row r="56" customFormat="false" ht="15" hidden="false" customHeight="false" outlineLevel="0" collapsed="false">
      <c r="A56" s="3" t="s">
        <v>143</v>
      </c>
      <c r="B56" s="0" t="n">
        <v>8083</v>
      </c>
      <c r="C56" s="0" t="n">
        <v>5960</v>
      </c>
      <c r="D56" s="0" t="n">
        <v>1940</v>
      </c>
      <c r="E56" s="0" t="n">
        <v>183</v>
      </c>
      <c r="F56" s="0" t="n">
        <v>37435.6</v>
      </c>
      <c r="G56" s="0" t="n">
        <v>6163.2</v>
      </c>
      <c r="H56" s="3" t="s">
        <v>96</v>
      </c>
      <c r="I56" s="3" t="s">
        <v>67</v>
      </c>
      <c r="J56" s="3" t="s">
        <v>129</v>
      </c>
    </row>
    <row r="57" customFormat="false" ht="15" hidden="false" customHeight="false" outlineLevel="0" collapsed="false">
      <c r="A57" s="3" t="s">
        <v>144</v>
      </c>
      <c r="B57" s="0" t="n">
        <v>8110</v>
      </c>
      <c r="C57" s="0" t="n">
        <v>5975</v>
      </c>
      <c r="D57" s="0" t="n">
        <v>1947</v>
      </c>
      <c r="E57" s="0" t="n">
        <v>188</v>
      </c>
      <c r="F57" s="0" t="n">
        <v>37267.2</v>
      </c>
      <c r="G57" s="0" t="n">
        <v>6441.5</v>
      </c>
      <c r="H57" s="3" t="s">
        <v>98</v>
      </c>
      <c r="I57" s="3" t="s">
        <v>67</v>
      </c>
      <c r="J57" s="3" t="s">
        <v>129</v>
      </c>
    </row>
    <row r="58" customFormat="false" ht="15" hidden="false" customHeight="false" outlineLevel="0" collapsed="false">
      <c r="A58" s="3" t="s">
        <v>145</v>
      </c>
      <c r="B58" s="0" t="n">
        <v>12656</v>
      </c>
      <c r="C58" s="0" t="n">
        <v>8753</v>
      </c>
      <c r="D58" s="0" t="n">
        <v>3037</v>
      </c>
      <c r="E58" s="0" t="n">
        <v>866</v>
      </c>
      <c r="F58" s="0" t="n">
        <v>54598.6</v>
      </c>
      <c r="G58" s="0" t="n">
        <v>21368.3</v>
      </c>
      <c r="H58" s="3" t="s">
        <v>100</v>
      </c>
      <c r="I58" s="3" t="s">
        <v>67</v>
      </c>
      <c r="J58" s="3" t="s">
        <v>129</v>
      </c>
    </row>
    <row r="59" customFormat="false" ht="15" hidden="false" customHeight="false" outlineLevel="0" collapsed="false">
      <c r="A59" s="3" t="s">
        <v>146</v>
      </c>
      <c r="B59" s="0" t="n">
        <v>9379</v>
      </c>
      <c r="C59" s="0" t="n">
        <v>6898</v>
      </c>
      <c r="D59" s="0" t="n">
        <v>2251</v>
      </c>
      <c r="E59" s="0" t="n">
        <v>230</v>
      </c>
      <c r="F59" s="0" t="n">
        <v>44343.1</v>
      </c>
      <c r="G59" s="0" t="n">
        <v>9275.1</v>
      </c>
      <c r="H59" s="3" t="s">
        <v>102</v>
      </c>
      <c r="I59" s="3" t="s">
        <v>67</v>
      </c>
      <c r="J59" s="3" t="s">
        <v>129</v>
      </c>
    </row>
    <row r="60" customFormat="false" ht="15" hidden="false" customHeight="false" outlineLevel="0" collapsed="false">
      <c r="A60" s="3" t="s">
        <v>147</v>
      </c>
      <c r="B60" s="0" t="n">
        <v>9099</v>
      </c>
      <c r="C60" s="0" t="n">
        <v>6683</v>
      </c>
      <c r="D60" s="0" t="n">
        <v>2184</v>
      </c>
      <c r="E60" s="0" t="n">
        <v>232</v>
      </c>
      <c r="F60" s="0" t="n">
        <v>43313.4</v>
      </c>
      <c r="G60" s="0" t="n">
        <v>5690</v>
      </c>
      <c r="H60" s="3" t="s">
        <v>104</v>
      </c>
      <c r="I60" s="3" t="s">
        <v>67</v>
      </c>
      <c r="J60" s="3" t="s">
        <v>129</v>
      </c>
    </row>
    <row r="61" customFormat="false" ht="15" hidden="false" customHeight="false" outlineLevel="0" collapsed="false">
      <c r="A61" s="3" t="s">
        <v>148</v>
      </c>
      <c r="B61" s="0" t="n">
        <v>8973</v>
      </c>
      <c r="C61" s="0" t="n">
        <v>6541</v>
      </c>
      <c r="D61" s="0" t="n">
        <v>2154</v>
      </c>
      <c r="E61" s="0" t="n">
        <v>278</v>
      </c>
      <c r="F61" s="0" t="n">
        <v>42378.8</v>
      </c>
      <c r="G61" s="0" t="n">
        <v>6749.8</v>
      </c>
      <c r="H61" s="3" t="s">
        <v>106</v>
      </c>
      <c r="I61" s="3" t="s">
        <v>67</v>
      </c>
      <c r="J61" s="3" t="s">
        <v>129</v>
      </c>
    </row>
    <row r="62" customFormat="false" ht="15" hidden="false" customHeight="false" outlineLevel="0" collapsed="false">
      <c r="A62" s="3" t="s">
        <v>149</v>
      </c>
      <c r="B62" s="0" t="n">
        <v>1084</v>
      </c>
      <c r="C62" s="0" t="n">
        <v>1050</v>
      </c>
      <c r="E62" s="0" t="n">
        <v>34</v>
      </c>
      <c r="F62" s="0" t="n">
        <v>4142.9</v>
      </c>
      <c r="G62" s="0" t="n">
        <v>980.8</v>
      </c>
      <c r="H62" s="3" t="s">
        <v>36</v>
      </c>
      <c r="I62" s="3" t="s">
        <v>67</v>
      </c>
      <c r="J62" s="3" t="s">
        <v>150</v>
      </c>
    </row>
    <row r="63" customFormat="false" ht="15" hidden="false" customHeight="false" outlineLevel="0" collapsed="false">
      <c r="A63" s="3" t="s">
        <v>151</v>
      </c>
      <c r="B63" s="0" t="n">
        <v>1082</v>
      </c>
      <c r="C63" s="0" t="n">
        <v>1040</v>
      </c>
      <c r="E63" s="0" t="n">
        <v>42</v>
      </c>
      <c r="F63" s="0" t="n">
        <v>3946.5</v>
      </c>
      <c r="G63" s="0" t="n">
        <v>1027.4</v>
      </c>
      <c r="H63" s="3" t="s">
        <v>70</v>
      </c>
      <c r="I63" s="3" t="s">
        <v>67</v>
      </c>
      <c r="J63" s="3" t="s">
        <v>150</v>
      </c>
    </row>
    <row r="64" customFormat="false" ht="15" hidden="false" customHeight="false" outlineLevel="0" collapsed="false">
      <c r="A64" s="3" t="s">
        <v>152</v>
      </c>
      <c r="B64" s="0" t="n">
        <v>2529</v>
      </c>
      <c r="C64" s="0" t="n">
        <v>1091</v>
      </c>
      <c r="D64" s="0" t="n">
        <v>1391</v>
      </c>
      <c r="E64" s="0" t="n">
        <v>47</v>
      </c>
      <c r="F64" s="0" t="n">
        <v>4223.9</v>
      </c>
      <c r="G64" s="0" t="n">
        <v>1004.5</v>
      </c>
      <c r="H64" s="3" t="s">
        <v>72</v>
      </c>
      <c r="I64" s="3" t="s">
        <v>67</v>
      </c>
      <c r="J64" s="3" t="s">
        <v>150</v>
      </c>
    </row>
    <row r="65" customFormat="false" ht="15" hidden="false" customHeight="false" outlineLevel="0" collapsed="false">
      <c r="A65" s="3" t="s">
        <v>153</v>
      </c>
      <c r="B65" s="0" t="n">
        <v>2456</v>
      </c>
      <c r="C65" s="0" t="n">
        <v>1060</v>
      </c>
      <c r="D65" s="0" t="n">
        <v>1351</v>
      </c>
      <c r="E65" s="0" t="n">
        <v>45</v>
      </c>
      <c r="F65" s="0" t="n">
        <v>4082.3</v>
      </c>
      <c r="G65" s="0" t="n">
        <v>883.8</v>
      </c>
      <c r="H65" s="3" t="s">
        <v>74</v>
      </c>
      <c r="I65" s="3" t="s">
        <v>67</v>
      </c>
      <c r="J65" s="3" t="s">
        <v>150</v>
      </c>
    </row>
    <row r="66" customFormat="false" ht="15" hidden="false" customHeight="false" outlineLevel="0" collapsed="false">
      <c r="A66" s="3" t="s">
        <v>154</v>
      </c>
      <c r="B66" s="0" t="n">
        <v>2577</v>
      </c>
      <c r="C66" s="0" t="n">
        <v>1126</v>
      </c>
      <c r="D66" s="0" t="n">
        <v>1417</v>
      </c>
      <c r="E66" s="0" t="n">
        <v>34</v>
      </c>
      <c r="F66" s="0" t="n">
        <v>4444.8</v>
      </c>
      <c r="G66" s="0" t="n">
        <v>1228.8</v>
      </c>
      <c r="H66" s="3" t="s">
        <v>76</v>
      </c>
      <c r="I66" s="3" t="s">
        <v>67</v>
      </c>
      <c r="J66" s="3" t="s">
        <v>150</v>
      </c>
    </row>
    <row r="67" customFormat="false" ht="15" hidden="false" customHeight="false" outlineLevel="0" collapsed="false">
      <c r="A67" s="3" t="s">
        <v>155</v>
      </c>
      <c r="B67" s="0" t="n">
        <v>2431</v>
      </c>
      <c r="C67" s="0" t="n">
        <v>1056</v>
      </c>
      <c r="D67" s="0" t="n">
        <v>1337</v>
      </c>
      <c r="E67" s="0" t="n">
        <v>38</v>
      </c>
      <c r="F67" s="0" t="n">
        <v>4029.3</v>
      </c>
      <c r="G67" s="0" t="n">
        <v>1144.6</v>
      </c>
      <c r="H67" s="3" t="s">
        <v>78</v>
      </c>
      <c r="I67" s="3" t="s">
        <v>67</v>
      </c>
      <c r="J67" s="3" t="s">
        <v>150</v>
      </c>
    </row>
    <row r="68" customFormat="false" ht="15" hidden="false" customHeight="false" outlineLevel="0" collapsed="false">
      <c r="A68" s="3" t="s">
        <v>156</v>
      </c>
      <c r="B68" s="0" t="n">
        <v>2593</v>
      </c>
      <c r="C68" s="0" t="n">
        <v>1130</v>
      </c>
      <c r="D68" s="0" t="n">
        <v>1426</v>
      </c>
      <c r="E68" s="0" t="n">
        <v>37</v>
      </c>
      <c r="F68" s="0" t="n">
        <v>4458.8</v>
      </c>
      <c r="G68" s="0" t="n">
        <v>1067</v>
      </c>
      <c r="H68" s="3" t="s">
        <v>80</v>
      </c>
      <c r="I68" s="3" t="s">
        <v>67</v>
      </c>
      <c r="J68" s="3" t="s">
        <v>150</v>
      </c>
    </row>
    <row r="69" customFormat="false" ht="15" hidden="false" customHeight="false" outlineLevel="0" collapsed="false">
      <c r="A69" s="3" t="s">
        <v>157</v>
      </c>
      <c r="B69" s="0" t="n">
        <v>2560</v>
      </c>
      <c r="C69" s="0" t="n">
        <v>1116</v>
      </c>
      <c r="D69" s="0" t="n">
        <v>1408</v>
      </c>
      <c r="E69" s="0" t="n">
        <v>36</v>
      </c>
      <c r="F69" s="0" t="n">
        <v>4437.6</v>
      </c>
      <c r="G69" s="0" t="n">
        <v>1208.6</v>
      </c>
      <c r="H69" s="3" t="s">
        <v>82</v>
      </c>
      <c r="I69" s="3" t="s">
        <v>67</v>
      </c>
      <c r="J69" s="3" t="s">
        <v>150</v>
      </c>
    </row>
    <row r="70" customFormat="false" ht="15" hidden="false" customHeight="false" outlineLevel="0" collapsed="false">
      <c r="A70" s="3" t="s">
        <v>158</v>
      </c>
      <c r="B70" s="0" t="n">
        <v>2503</v>
      </c>
      <c r="C70" s="0" t="n">
        <v>1085</v>
      </c>
      <c r="D70" s="0" t="n">
        <v>1377</v>
      </c>
      <c r="E70" s="0" t="n">
        <v>41</v>
      </c>
      <c r="F70" s="0" t="n">
        <v>4305.5</v>
      </c>
      <c r="G70" s="0" t="n">
        <v>1028.1</v>
      </c>
      <c r="H70" s="3" t="s">
        <v>84</v>
      </c>
      <c r="I70" s="3" t="s">
        <v>67</v>
      </c>
      <c r="J70" s="3" t="s">
        <v>150</v>
      </c>
    </row>
    <row r="71" customFormat="false" ht="15" hidden="false" customHeight="false" outlineLevel="0" collapsed="false">
      <c r="A71" s="3" t="s">
        <v>159</v>
      </c>
      <c r="B71" s="0" t="n">
        <v>2459</v>
      </c>
      <c r="C71" s="0" t="n">
        <v>1061</v>
      </c>
      <c r="D71" s="0" t="n">
        <v>1352</v>
      </c>
      <c r="E71" s="0" t="n">
        <v>46</v>
      </c>
      <c r="F71" s="0" t="n">
        <v>4140.9</v>
      </c>
      <c r="G71" s="0" t="n">
        <v>1134.3</v>
      </c>
      <c r="H71" s="3" t="s">
        <v>86</v>
      </c>
      <c r="I71" s="3" t="s">
        <v>67</v>
      </c>
      <c r="J71" s="3" t="s">
        <v>150</v>
      </c>
    </row>
    <row r="72" customFormat="false" ht="15" hidden="false" customHeight="false" outlineLevel="0" collapsed="false">
      <c r="A72" s="3" t="s">
        <v>160</v>
      </c>
      <c r="B72" s="0" t="n">
        <v>2543</v>
      </c>
      <c r="C72" s="0" t="n">
        <v>1099</v>
      </c>
      <c r="D72" s="0" t="n">
        <v>1399</v>
      </c>
      <c r="E72" s="0" t="n">
        <v>45</v>
      </c>
      <c r="F72" s="0" t="n">
        <v>4163</v>
      </c>
      <c r="G72" s="0" t="n">
        <v>1130.4</v>
      </c>
      <c r="H72" s="3" t="s">
        <v>88</v>
      </c>
      <c r="I72" s="3" t="s">
        <v>67</v>
      </c>
      <c r="J72" s="3" t="s">
        <v>150</v>
      </c>
    </row>
    <row r="73" customFormat="false" ht="15" hidden="false" customHeight="false" outlineLevel="0" collapsed="false">
      <c r="A73" s="3" t="s">
        <v>161</v>
      </c>
      <c r="B73" s="0" t="n">
        <v>2440</v>
      </c>
      <c r="C73" s="0" t="n">
        <v>1066</v>
      </c>
      <c r="D73" s="0" t="n">
        <v>1342</v>
      </c>
      <c r="E73" s="0" t="n">
        <v>32</v>
      </c>
      <c r="F73" s="0" t="n">
        <v>4102.2</v>
      </c>
      <c r="G73" s="0" t="n">
        <v>1091.7</v>
      </c>
      <c r="H73" s="3" t="s">
        <v>90</v>
      </c>
      <c r="I73" s="3" t="s">
        <v>67</v>
      </c>
      <c r="J73" s="3" t="s">
        <v>150</v>
      </c>
    </row>
    <row r="74" customFormat="false" ht="15" hidden="false" customHeight="false" outlineLevel="0" collapsed="false">
      <c r="A74" s="3" t="s">
        <v>162</v>
      </c>
      <c r="B74" s="0" t="n">
        <v>2587</v>
      </c>
      <c r="C74" s="0" t="n">
        <v>1021</v>
      </c>
      <c r="D74" s="0" t="n">
        <v>1526</v>
      </c>
      <c r="E74" s="0" t="n">
        <v>40</v>
      </c>
      <c r="F74" s="0" t="n">
        <v>3948.8</v>
      </c>
      <c r="G74" s="0" t="n">
        <v>1060.1</v>
      </c>
      <c r="H74" s="3" t="s">
        <v>92</v>
      </c>
      <c r="I74" s="3" t="s">
        <v>67</v>
      </c>
      <c r="J74" s="3" t="s">
        <v>150</v>
      </c>
    </row>
    <row r="75" customFormat="false" ht="15" hidden="false" customHeight="false" outlineLevel="0" collapsed="false">
      <c r="A75" s="3" t="s">
        <v>163</v>
      </c>
      <c r="B75" s="0" t="n">
        <v>2584</v>
      </c>
      <c r="C75" s="0" t="n">
        <v>1021</v>
      </c>
      <c r="D75" s="0" t="n">
        <v>1525</v>
      </c>
      <c r="E75" s="0" t="n">
        <v>38</v>
      </c>
      <c r="F75" s="0" t="n">
        <v>4039.7</v>
      </c>
      <c r="G75" s="0" t="n">
        <v>951</v>
      </c>
      <c r="H75" s="3" t="s">
        <v>94</v>
      </c>
      <c r="I75" s="3" t="s">
        <v>67</v>
      </c>
      <c r="J75" s="3" t="s">
        <v>150</v>
      </c>
    </row>
    <row r="76" customFormat="false" ht="15" hidden="false" customHeight="false" outlineLevel="0" collapsed="false">
      <c r="A76" s="3" t="s">
        <v>164</v>
      </c>
      <c r="B76" s="0" t="n">
        <v>2542</v>
      </c>
      <c r="C76" s="0" t="n">
        <v>1001</v>
      </c>
      <c r="D76" s="0" t="n">
        <v>1500</v>
      </c>
      <c r="E76" s="0" t="n">
        <v>41</v>
      </c>
      <c r="F76" s="0" t="n">
        <v>3807.5</v>
      </c>
      <c r="G76" s="0" t="n">
        <v>866.3</v>
      </c>
      <c r="H76" s="3" t="s">
        <v>96</v>
      </c>
      <c r="I76" s="3" t="s">
        <v>67</v>
      </c>
      <c r="J76" s="3" t="s">
        <v>150</v>
      </c>
    </row>
    <row r="77" customFormat="false" ht="15" hidden="false" customHeight="false" outlineLevel="0" collapsed="false">
      <c r="A77" s="3" t="s">
        <v>165</v>
      </c>
      <c r="B77" s="0" t="n">
        <v>2519</v>
      </c>
      <c r="C77" s="0" t="n">
        <v>996</v>
      </c>
      <c r="D77" s="0" t="n">
        <v>1486</v>
      </c>
      <c r="E77" s="0" t="n">
        <v>37</v>
      </c>
      <c r="F77" s="0" t="n">
        <v>3831.5</v>
      </c>
      <c r="G77" s="0" t="n">
        <v>1022.5</v>
      </c>
      <c r="H77" s="3" t="s">
        <v>98</v>
      </c>
      <c r="I77" s="3" t="s">
        <v>67</v>
      </c>
      <c r="J77" s="3" t="s">
        <v>150</v>
      </c>
    </row>
    <row r="78" customFormat="false" ht="15" hidden="false" customHeight="false" outlineLevel="0" collapsed="false">
      <c r="A78" s="3" t="s">
        <v>166</v>
      </c>
      <c r="B78" s="0" t="n">
        <v>2613</v>
      </c>
      <c r="C78" s="0" t="n">
        <v>975</v>
      </c>
      <c r="D78" s="0" t="n">
        <v>1542</v>
      </c>
      <c r="E78" s="0" t="n">
        <v>96</v>
      </c>
      <c r="F78" s="0" t="n">
        <v>3777.2</v>
      </c>
      <c r="G78" s="0" t="n">
        <v>2611.4</v>
      </c>
      <c r="H78" s="3" t="s">
        <v>100</v>
      </c>
      <c r="I78" s="3" t="s">
        <v>67</v>
      </c>
      <c r="J78" s="3" t="s">
        <v>150</v>
      </c>
    </row>
    <row r="79" customFormat="false" ht="15" hidden="false" customHeight="false" outlineLevel="0" collapsed="false">
      <c r="A79" s="3" t="s">
        <v>167</v>
      </c>
      <c r="B79" s="0" t="n">
        <v>2631</v>
      </c>
      <c r="C79" s="0" t="n">
        <v>1048</v>
      </c>
      <c r="D79" s="0" t="n">
        <v>1552</v>
      </c>
      <c r="E79" s="0" t="n">
        <v>31</v>
      </c>
      <c r="F79" s="0" t="n">
        <v>4010.5</v>
      </c>
      <c r="G79" s="0" t="n">
        <v>1223.8</v>
      </c>
      <c r="H79" s="3" t="s">
        <v>102</v>
      </c>
      <c r="I79" s="3" t="s">
        <v>67</v>
      </c>
      <c r="J79" s="3" t="s">
        <v>150</v>
      </c>
    </row>
    <row r="80" customFormat="false" ht="15" hidden="false" customHeight="false" outlineLevel="0" collapsed="false">
      <c r="A80" s="3" t="s">
        <v>168</v>
      </c>
      <c r="B80" s="0" t="n">
        <v>2630</v>
      </c>
      <c r="C80" s="0" t="n">
        <v>1034</v>
      </c>
      <c r="D80" s="0" t="n">
        <v>1552</v>
      </c>
      <c r="E80" s="0" t="n">
        <v>44</v>
      </c>
      <c r="F80" s="0" t="n">
        <v>3991.4</v>
      </c>
      <c r="G80" s="0" t="n">
        <v>1062.7</v>
      </c>
      <c r="H80" s="3" t="s">
        <v>104</v>
      </c>
      <c r="I80" s="3" t="s">
        <v>67</v>
      </c>
      <c r="J80" s="3" t="s">
        <v>150</v>
      </c>
    </row>
    <row r="81" customFormat="false" ht="15" hidden="false" customHeight="false" outlineLevel="0" collapsed="false">
      <c r="A81" s="3" t="s">
        <v>169</v>
      </c>
      <c r="B81" s="0" t="n">
        <v>2477</v>
      </c>
      <c r="C81" s="0" t="n">
        <v>985</v>
      </c>
      <c r="D81" s="0" t="n">
        <v>1461</v>
      </c>
      <c r="E81" s="0" t="n">
        <v>31</v>
      </c>
      <c r="F81" s="0" t="n">
        <v>3765.9</v>
      </c>
      <c r="G81" s="0" t="n">
        <v>794.2</v>
      </c>
      <c r="H81" s="3" t="s">
        <v>106</v>
      </c>
      <c r="I81" s="3" t="s">
        <v>67</v>
      </c>
      <c r="J81" s="3" t="s">
        <v>150</v>
      </c>
    </row>
    <row r="82" customFormat="false" ht="15" hidden="false" customHeight="false" outlineLevel="0" collapsed="false">
      <c r="A82" s="3" t="s">
        <v>170</v>
      </c>
      <c r="B82" s="0" t="n">
        <v>4138</v>
      </c>
      <c r="C82" s="0" t="n">
        <v>3988</v>
      </c>
      <c r="E82" s="0" t="n">
        <v>150</v>
      </c>
      <c r="F82" s="0" t="n">
        <v>20414.5</v>
      </c>
      <c r="G82" s="0" t="n">
        <v>3356.6</v>
      </c>
      <c r="H82" s="3" t="s">
        <v>36</v>
      </c>
      <c r="I82" s="3" t="s">
        <v>67</v>
      </c>
      <c r="J82" s="3" t="s">
        <v>171</v>
      </c>
    </row>
    <row r="83" customFormat="false" ht="15" hidden="false" customHeight="false" outlineLevel="0" collapsed="false">
      <c r="A83" s="3" t="s">
        <v>172</v>
      </c>
      <c r="B83" s="0" t="n">
        <v>4006</v>
      </c>
      <c r="C83" s="0" t="n">
        <v>3887</v>
      </c>
      <c r="E83" s="0" t="n">
        <v>119</v>
      </c>
      <c r="F83" s="0" t="n">
        <v>20711.4</v>
      </c>
      <c r="G83" s="0" t="n">
        <v>3997.7</v>
      </c>
      <c r="H83" s="3" t="s">
        <v>70</v>
      </c>
      <c r="I83" s="3" t="s">
        <v>67</v>
      </c>
      <c r="J83" s="3" t="s">
        <v>171</v>
      </c>
    </row>
    <row r="84" customFormat="false" ht="15" hidden="false" customHeight="false" outlineLevel="0" collapsed="false">
      <c r="A84" s="3" t="s">
        <v>173</v>
      </c>
      <c r="B84" s="0" t="n">
        <v>5444</v>
      </c>
      <c r="C84" s="0" t="n">
        <v>3953</v>
      </c>
      <c r="D84" s="0" t="n">
        <v>1361</v>
      </c>
      <c r="E84" s="0" t="n">
        <v>130</v>
      </c>
      <c r="F84" s="0" t="n">
        <v>20090.5</v>
      </c>
      <c r="G84" s="0" t="n">
        <v>3630.6</v>
      </c>
      <c r="H84" s="3" t="s">
        <v>72</v>
      </c>
      <c r="I84" s="3" t="s">
        <v>67</v>
      </c>
      <c r="J84" s="3" t="s">
        <v>171</v>
      </c>
    </row>
    <row r="85" customFormat="false" ht="15" hidden="false" customHeight="false" outlineLevel="0" collapsed="false">
      <c r="A85" s="3" t="s">
        <v>174</v>
      </c>
      <c r="B85" s="0" t="n">
        <v>5383</v>
      </c>
      <c r="C85" s="0" t="n">
        <v>3898</v>
      </c>
      <c r="D85" s="0" t="n">
        <v>1346</v>
      </c>
      <c r="E85" s="0" t="n">
        <v>139</v>
      </c>
      <c r="F85" s="0" t="n">
        <v>19859.2</v>
      </c>
      <c r="G85" s="0" t="n">
        <v>3959.3</v>
      </c>
      <c r="H85" s="3" t="s">
        <v>74</v>
      </c>
      <c r="I85" s="3" t="s">
        <v>67</v>
      </c>
      <c r="J85" s="3" t="s">
        <v>171</v>
      </c>
    </row>
    <row r="86" customFormat="false" ht="15" hidden="false" customHeight="false" outlineLevel="0" collapsed="false">
      <c r="A86" s="3" t="s">
        <v>175</v>
      </c>
      <c r="B86" s="0" t="n">
        <v>5161</v>
      </c>
      <c r="C86" s="0" t="n">
        <v>3758</v>
      </c>
      <c r="D86" s="0" t="n">
        <v>1290</v>
      </c>
      <c r="E86" s="0" t="n">
        <v>113</v>
      </c>
      <c r="F86" s="0" t="n">
        <v>19345.1</v>
      </c>
      <c r="G86" s="0" t="n">
        <v>3745.2</v>
      </c>
      <c r="H86" s="3" t="s">
        <v>76</v>
      </c>
      <c r="I86" s="3" t="s">
        <v>67</v>
      </c>
      <c r="J86" s="3" t="s">
        <v>171</v>
      </c>
    </row>
    <row r="87" customFormat="false" ht="15" hidden="false" customHeight="false" outlineLevel="0" collapsed="false">
      <c r="A87" s="3" t="s">
        <v>176</v>
      </c>
      <c r="B87" s="0" t="n">
        <v>5342</v>
      </c>
      <c r="C87" s="0" t="n">
        <v>3857</v>
      </c>
      <c r="D87" s="0" t="n">
        <v>1335</v>
      </c>
      <c r="E87" s="0" t="n">
        <v>150</v>
      </c>
      <c r="F87" s="0" t="n">
        <v>19525.6</v>
      </c>
      <c r="G87" s="0" t="n">
        <v>3823.7</v>
      </c>
      <c r="H87" s="3" t="s">
        <v>78</v>
      </c>
      <c r="I87" s="3" t="s">
        <v>67</v>
      </c>
      <c r="J87" s="3" t="s">
        <v>171</v>
      </c>
    </row>
    <row r="88" customFormat="false" ht="15" hidden="false" customHeight="false" outlineLevel="0" collapsed="false">
      <c r="A88" s="3" t="s">
        <v>177</v>
      </c>
      <c r="B88" s="0" t="n">
        <v>5125</v>
      </c>
      <c r="C88" s="0" t="n">
        <v>3723</v>
      </c>
      <c r="D88" s="0" t="n">
        <v>1281</v>
      </c>
      <c r="E88" s="0" t="n">
        <v>121</v>
      </c>
      <c r="F88" s="0" t="n">
        <v>19442.4</v>
      </c>
      <c r="G88" s="0" t="n">
        <v>3688.2</v>
      </c>
      <c r="H88" s="3" t="s">
        <v>80</v>
      </c>
      <c r="I88" s="3" t="s">
        <v>67</v>
      </c>
      <c r="J88" s="3" t="s">
        <v>171</v>
      </c>
    </row>
    <row r="89" customFormat="false" ht="15" hidden="false" customHeight="false" outlineLevel="0" collapsed="false">
      <c r="A89" s="3" t="s">
        <v>178</v>
      </c>
      <c r="B89" s="0" t="n">
        <v>5244</v>
      </c>
      <c r="C89" s="0" t="n">
        <v>3808</v>
      </c>
      <c r="D89" s="0" t="n">
        <v>1311</v>
      </c>
      <c r="E89" s="0" t="n">
        <v>125</v>
      </c>
      <c r="F89" s="0" t="n">
        <v>20141.1</v>
      </c>
      <c r="G89" s="0" t="n">
        <v>3074</v>
      </c>
      <c r="H89" s="3" t="s">
        <v>82</v>
      </c>
      <c r="I89" s="3" t="s">
        <v>67</v>
      </c>
      <c r="J89" s="3" t="s">
        <v>171</v>
      </c>
    </row>
    <row r="90" customFormat="false" ht="15" hidden="false" customHeight="false" outlineLevel="0" collapsed="false">
      <c r="A90" s="3" t="s">
        <v>179</v>
      </c>
      <c r="B90" s="0" t="n">
        <v>5421</v>
      </c>
      <c r="C90" s="0" t="n">
        <v>3916</v>
      </c>
      <c r="D90" s="0" t="n">
        <v>1355</v>
      </c>
      <c r="E90" s="0" t="n">
        <v>150</v>
      </c>
      <c r="F90" s="0" t="n">
        <v>20961.6</v>
      </c>
      <c r="G90" s="0" t="n">
        <v>3539.1</v>
      </c>
      <c r="H90" s="3" t="s">
        <v>84</v>
      </c>
      <c r="I90" s="3" t="s">
        <v>67</v>
      </c>
      <c r="J90" s="3" t="s">
        <v>171</v>
      </c>
    </row>
    <row r="91" customFormat="false" ht="15" hidden="false" customHeight="false" outlineLevel="0" collapsed="false">
      <c r="A91" s="3" t="s">
        <v>180</v>
      </c>
      <c r="B91" s="0" t="n">
        <v>5354</v>
      </c>
      <c r="C91" s="0" t="n">
        <v>3849</v>
      </c>
      <c r="D91" s="0" t="n">
        <v>1338</v>
      </c>
      <c r="E91" s="0" t="n">
        <v>167</v>
      </c>
      <c r="F91" s="0" t="n">
        <v>19465</v>
      </c>
      <c r="G91" s="0" t="n">
        <v>3133.7</v>
      </c>
      <c r="H91" s="3" t="s">
        <v>86</v>
      </c>
      <c r="I91" s="3" t="s">
        <v>67</v>
      </c>
      <c r="J91" s="3" t="s">
        <v>171</v>
      </c>
    </row>
    <row r="92" customFormat="false" ht="15" hidden="false" customHeight="false" outlineLevel="0" collapsed="false">
      <c r="A92" s="3" t="s">
        <v>181</v>
      </c>
      <c r="B92" s="0" t="n">
        <v>5534</v>
      </c>
      <c r="C92" s="0" t="n">
        <v>4021</v>
      </c>
      <c r="D92" s="0" t="n">
        <v>1384</v>
      </c>
      <c r="E92" s="0" t="n">
        <v>129</v>
      </c>
      <c r="F92" s="0" t="n">
        <v>21480</v>
      </c>
      <c r="G92" s="0" t="n">
        <v>3228.8</v>
      </c>
      <c r="H92" s="3" t="s">
        <v>88</v>
      </c>
      <c r="I92" s="3" t="s">
        <v>67</v>
      </c>
      <c r="J92" s="3" t="s">
        <v>171</v>
      </c>
    </row>
    <row r="93" customFormat="false" ht="15" hidden="false" customHeight="false" outlineLevel="0" collapsed="false">
      <c r="A93" s="3" t="s">
        <v>182</v>
      </c>
      <c r="B93" s="0" t="n">
        <v>5302</v>
      </c>
      <c r="C93" s="0" t="n">
        <v>3835</v>
      </c>
      <c r="D93" s="0" t="n">
        <v>1325</v>
      </c>
      <c r="E93" s="0" t="n">
        <v>142</v>
      </c>
      <c r="F93" s="0" t="n">
        <v>19428.3</v>
      </c>
      <c r="G93" s="0" t="n">
        <v>3618.8</v>
      </c>
      <c r="H93" s="3" t="s">
        <v>90</v>
      </c>
      <c r="I93" s="3" t="s">
        <v>67</v>
      </c>
      <c r="J93" s="3" t="s">
        <v>171</v>
      </c>
    </row>
    <row r="94" customFormat="false" ht="15" hidden="false" customHeight="false" outlineLevel="0" collapsed="false">
      <c r="A94" s="3" t="s">
        <v>183</v>
      </c>
      <c r="B94" s="0" t="n">
        <v>5633</v>
      </c>
      <c r="C94" s="0" t="n">
        <v>3878</v>
      </c>
      <c r="D94" s="0" t="n">
        <v>1634</v>
      </c>
      <c r="E94" s="0" t="n">
        <v>121</v>
      </c>
      <c r="F94" s="0" t="n">
        <v>19669.2</v>
      </c>
      <c r="G94" s="0" t="n">
        <v>3202.9</v>
      </c>
      <c r="H94" s="3" t="s">
        <v>92</v>
      </c>
      <c r="I94" s="3" t="s">
        <v>67</v>
      </c>
      <c r="J94" s="3" t="s">
        <v>171</v>
      </c>
    </row>
    <row r="95" customFormat="false" ht="15" hidden="false" customHeight="false" outlineLevel="0" collapsed="false">
      <c r="A95" s="3" t="s">
        <v>184</v>
      </c>
      <c r="B95" s="0" t="n">
        <v>5636</v>
      </c>
      <c r="C95" s="0" t="n">
        <v>3838</v>
      </c>
      <c r="D95" s="0" t="n">
        <v>1635</v>
      </c>
      <c r="E95" s="0" t="n">
        <v>163</v>
      </c>
      <c r="F95" s="0" t="n">
        <v>19673.1</v>
      </c>
      <c r="G95" s="0" t="n">
        <v>3747.9</v>
      </c>
      <c r="H95" s="3" t="s">
        <v>94</v>
      </c>
      <c r="I95" s="3" t="s">
        <v>67</v>
      </c>
      <c r="J95" s="3" t="s">
        <v>171</v>
      </c>
    </row>
    <row r="96" customFormat="false" ht="15" hidden="false" customHeight="false" outlineLevel="0" collapsed="false">
      <c r="A96" s="3" t="s">
        <v>185</v>
      </c>
      <c r="B96" s="0" t="n">
        <v>5426</v>
      </c>
      <c r="C96" s="0" t="n">
        <v>3742</v>
      </c>
      <c r="D96" s="0" t="n">
        <v>1574</v>
      </c>
      <c r="E96" s="0" t="n">
        <v>110</v>
      </c>
      <c r="F96" s="0" t="n">
        <v>19633.9</v>
      </c>
      <c r="G96" s="0" t="n">
        <v>4055.7</v>
      </c>
      <c r="H96" s="3" t="s">
        <v>96</v>
      </c>
      <c r="I96" s="3" t="s">
        <v>67</v>
      </c>
      <c r="J96" s="3" t="s">
        <v>171</v>
      </c>
    </row>
    <row r="97" customFormat="false" ht="15" hidden="false" customHeight="false" outlineLevel="0" collapsed="false">
      <c r="A97" s="3" t="s">
        <v>186</v>
      </c>
      <c r="B97" s="0" t="n">
        <v>5526</v>
      </c>
      <c r="C97" s="0" t="n">
        <v>3768</v>
      </c>
      <c r="D97" s="0" t="n">
        <v>1603</v>
      </c>
      <c r="E97" s="0" t="n">
        <v>155</v>
      </c>
      <c r="F97" s="0" t="n">
        <v>19596.3</v>
      </c>
      <c r="G97" s="0" t="n">
        <v>3329.7</v>
      </c>
      <c r="H97" s="3" t="s">
        <v>98</v>
      </c>
      <c r="I97" s="3" t="s">
        <v>67</v>
      </c>
      <c r="J97" s="3" t="s">
        <v>171</v>
      </c>
    </row>
    <row r="98" customFormat="false" ht="15" hidden="false" customHeight="false" outlineLevel="0" collapsed="false">
      <c r="A98" s="3" t="s">
        <v>187</v>
      </c>
      <c r="B98" s="0" t="n">
        <v>5519</v>
      </c>
      <c r="C98" s="0" t="n">
        <v>3566</v>
      </c>
      <c r="D98" s="0" t="n">
        <v>1600</v>
      </c>
      <c r="E98" s="0" t="n">
        <v>353</v>
      </c>
      <c r="F98" s="0" t="n">
        <v>18927.6</v>
      </c>
      <c r="G98" s="0" t="n">
        <v>8657.2</v>
      </c>
      <c r="H98" s="3" t="s">
        <v>100</v>
      </c>
      <c r="I98" s="3" t="s">
        <v>67</v>
      </c>
      <c r="J98" s="3" t="s">
        <v>171</v>
      </c>
    </row>
    <row r="99" customFormat="false" ht="15" hidden="false" customHeight="false" outlineLevel="0" collapsed="false">
      <c r="A99" s="3" t="s">
        <v>188</v>
      </c>
      <c r="B99" s="0" t="n">
        <v>5581</v>
      </c>
      <c r="C99" s="0" t="n">
        <v>3845</v>
      </c>
      <c r="D99" s="0" t="n">
        <v>1618</v>
      </c>
      <c r="E99" s="0" t="n">
        <v>118</v>
      </c>
      <c r="F99" s="0" t="n">
        <v>19638.4</v>
      </c>
      <c r="G99" s="0" t="n">
        <v>5404</v>
      </c>
      <c r="H99" s="3" t="s">
        <v>102</v>
      </c>
      <c r="I99" s="3" t="s">
        <v>67</v>
      </c>
      <c r="J99" s="3" t="s">
        <v>171</v>
      </c>
    </row>
    <row r="100" customFormat="false" ht="15" hidden="false" customHeight="false" outlineLevel="0" collapsed="false">
      <c r="A100" s="3" t="s">
        <v>189</v>
      </c>
      <c r="B100" s="0" t="n">
        <v>5262</v>
      </c>
      <c r="C100" s="0" t="n">
        <v>3628</v>
      </c>
      <c r="D100" s="0" t="n">
        <v>1526</v>
      </c>
      <c r="E100" s="0" t="n">
        <v>108</v>
      </c>
      <c r="F100" s="0" t="n">
        <v>18994.7</v>
      </c>
      <c r="G100" s="0" t="n">
        <v>3309.2</v>
      </c>
      <c r="H100" s="3" t="s">
        <v>104</v>
      </c>
      <c r="I100" s="3" t="s">
        <v>67</v>
      </c>
      <c r="J100" s="3" t="s">
        <v>171</v>
      </c>
    </row>
    <row r="101" customFormat="false" ht="15" hidden="false" customHeight="false" outlineLevel="0" collapsed="false">
      <c r="A101" s="3" t="s">
        <v>190</v>
      </c>
      <c r="B101" s="0" t="n">
        <v>5455</v>
      </c>
      <c r="C101" s="0" t="n">
        <v>3749</v>
      </c>
      <c r="D101" s="0" t="n">
        <v>1582</v>
      </c>
      <c r="E101" s="0" t="n">
        <v>124</v>
      </c>
      <c r="F101" s="0" t="n">
        <v>19197.2</v>
      </c>
      <c r="G101" s="0" t="n">
        <v>3174</v>
      </c>
      <c r="H101" s="3" t="s">
        <v>106</v>
      </c>
      <c r="I101" s="3" t="s">
        <v>67</v>
      </c>
      <c r="J101" s="3" t="s">
        <v>171</v>
      </c>
    </row>
    <row r="102" customFormat="false" ht="15" hidden="false" customHeight="false" outlineLevel="0" collapsed="false">
      <c r="A102" s="3" t="s">
        <v>191</v>
      </c>
      <c r="B102" s="0" t="n">
        <v>4715</v>
      </c>
      <c r="C102" s="0" t="n">
        <v>4577</v>
      </c>
      <c r="E102" s="0" t="n">
        <v>138</v>
      </c>
      <c r="F102" s="0" t="n">
        <v>26331.3</v>
      </c>
      <c r="G102" s="0" t="n">
        <v>3798.4</v>
      </c>
      <c r="H102" s="3" t="s">
        <v>36</v>
      </c>
      <c r="I102" s="3" t="s">
        <v>67</v>
      </c>
      <c r="J102" s="3" t="s">
        <v>192</v>
      </c>
    </row>
    <row r="103" customFormat="false" ht="15" hidden="false" customHeight="false" outlineLevel="0" collapsed="false">
      <c r="A103" s="3" t="s">
        <v>193</v>
      </c>
      <c r="B103" s="0" t="n">
        <v>4500</v>
      </c>
      <c r="C103" s="0" t="n">
        <v>4332</v>
      </c>
      <c r="E103" s="0" t="n">
        <v>168</v>
      </c>
      <c r="F103" s="0" t="n">
        <v>24438.3</v>
      </c>
      <c r="G103" s="0" t="n">
        <v>4146.8</v>
      </c>
      <c r="H103" s="3" t="s">
        <v>70</v>
      </c>
      <c r="I103" s="3" t="s">
        <v>67</v>
      </c>
      <c r="J103" s="3" t="s">
        <v>192</v>
      </c>
    </row>
    <row r="104" customFormat="false" ht="15" hidden="false" customHeight="false" outlineLevel="0" collapsed="false">
      <c r="A104" s="3" t="s">
        <v>194</v>
      </c>
      <c r="B104" s="0" t="n">
        <v>6687</v>
      </c>
      <c r="C104" s="0" t="n">
        <v>4515</v>
      </c>
      <c r="D104" s="0" t="n">
        <v>2006</v>
      </c>
      <c r="E104" s="0" t="n">
        <v>166</v>
      </c>
      <c r="F104" s="0" t="n">
        <v>26519.3</v>
      </c>
      <c r="G104" s="0" t="n">
        <v>4787.9</v>
      </c>
      <c r="H104" s="3" t="s">
        <v>72</v>
      </c>
      <c r="I104" s="3" t="s">
        <v>67</v>
      </c>
      <c r="J104" s="3" t="s">
        <v>192</v>
      </c>
    </row>
    <row r="105" customFormat="false" ht="15" hidden="false" customHeight="false" outlineLevel="0" collapsed="false">
      <c r="A105" s="3" t="s">
        <v>195</v>
      </c>
      <c r="B105" s="0" t="n">
        <v>6506</v>
      </c>
      <c r="C105" s="0" t="n">
        <v>4392</v>
      </c>
      <c r="D105" s="0" t="n">
        <v>1952</v>
      </c>
      <c r="E105" s="0" t="n">
        <v>162</v>
      </c>
      <c r="F105" s="0" t="n">
        <v>24796</v>
      </c>
      <c r="G105" s="0" t="n">
        <v>3888.8</v>
      </c>
      <c r="H105" s="3" t="s">
        <v>74</v>
      </c>
      <c r="I105" s="3" t="s">
        <v>67</v>
      </c>
      <c r="J105" s="3" t="s">
        <v>192</v>
      </c>
    </row>
    <row r="106" customFormat="false" ht="15" hidden="false" customHeight="false" outlineLevel="0" collapsed="false">
      <c r="A106" s="3" t="s">
        <v>196</v>
      </c>
      <c r="B106" s="0" t="n">
        <v>6583</v>
      </c>
      <c r="C106" s="0" t="n">
        <v>4433</v>
      </c>
      <c r="D106" s="0" t="n">
        <v>1975</v>
      </c>
      <c r="E106" s="0" t="n">
        <v>175</v>
      </c>
      <c r="F106" s="0" t="n">
        <v>26305.1</v>
      </c>
      <c r="G106" s="0" t="n">
        <v>4785.9</v>
      </c>
      <c r="H106" s="3" t="s">
        <v>76</v>
      </c>
      <c r="I106" s="3" t="s">
        <v>67</v>
      </c>
      <c r="J106" s="3" t="s">
        <v>192</v>
      </c>
    </row>
    <row r="107" customFormat="false" ht="15" hidden="false" customHeight="false" outlineLevel="0" collapsed="false">
      <c r="A107" s="3" t="s">
        <v>197</v>
      </c>
      <c r="B107" s="0" t="n">
        <v>6382</v>
      </c>
      <c r="C107" s="0" t="n">
        <v>4317</v>
      </c>
      <c r="D107" s="0" t="n">
        <v>1915</v>
      </c>
      <c r="E107" s="0" t="n">
        <v>150</v>
      </c>
      <c r="F107" s="0" t="n">
        <v>24347.3</v>
      </c>
      <c r="G107" s="0" t="n">
        <v>4341.9</v>
      </c>
      <c r="H107" s="3" t="s">
        <v>78</v>
      </c>
      <c r="I107" s="3" t="s">
        <v>67</v>
      </c>
      <c r="J107" s="3" t="s">
        <v>192</v>
      </c>
    </row>
    <row r="108" customFormat="false" ht="15" hidden="false" customHeight="false" outlineLevel="0" collapsed="false">
      <c r="A108" s="3" t="s">
        <v>198</v>
      </c>
      <c r="B108" s="0" t="n">
        <v>6539</v>
      </c>
      <c r="C108" s="0" t="n">
        <v>4448</v>
      </c>
      <c r="D108" s="0" t="n">
        <v>1962</v>
      </c>
      <c r="E108" s="0" t="n">
        <v>129</v>
      </c>
      <c r="F108" s="0" t="n">
        <v>26140.8</v>
      </c>
      <c r="G108" s="0" t="n">
        <v>3736.8</v>
      </c>
      <c r="H108" s="3" t="s">
        <v>80</v>
      </c>
      <c r="I108" s="3" t="s">
        <v>67</v>
      </c>
      <c r="J108" s="3" t="s">
        <v>192</v>
      </c>
    </row>
    <row r="109" customFormat="false" ht="15" hidden="false" customHeight="false" outlineLevel="0" collapsed="false">
      <c r="A109" s="3" t="s">
        <v>199</v>
      </c>
      <c r="B109" s="0" t="n">
        <v>6515</v>
      </c>
      <c r="C109" s="0" t="n">
        <v>4428</v>
      </c>
      <c r="D109" s="0" t="n">
        <v>1954</v>
      </c>
      <c r="E109" s="0" t="n">
        <v>133</v>
      </c>
      <c r="F109" s="0" t="n">
        <v>25496.6</v>
      </c>
      <c r="G109" s="0" t="n">
        <v>4720.7</v>
      </c>
      <c r="H109" s="3" t="s">
        <v>82</v>
      </c>
      <c r="I109" s="3" t="s">
        <v>67</v>
      </c>
      <c r="J109" s="3" t="s">
        <v>192</v>
      </c>
    </row>
    <row r="110" customFormat="false" ht="15" hidden="false" customHeight="false" outlineLevel="0" collapsed="false">
      <c r="A110" s="3" t="s">
        <v>200</v>
      </c>
      <c r="B110" s="0" t="n">
        <v>6310</v>
      </c>
      <c r="C110" s="0" t="n">
        <v>4267</v>
      </c>
      <c r="D110" s="0" t="n">
        <v>1893</v>
      </c>
      <c r="E110" s="0" t="n">
        <v>150</v>
      </c>
      <c r="F110" s="0" t="n">
        <v>24601.7</v>
      </c>
      <c r="G110" s="0" t="n">
        <v>4640.9</v>
      </c>
      <c r="H110" s="3" t="s">
        <v>84</v>
      </c>
      <c r="I110" s="3" t="s">
        <v>67</v>
      </c>
      <c r="J110" s="3" t="s">
        <v>192</v>
      </c>
    </row>
    <row r="111" customFormat="false" ht="15" hidden="false" customHeight="false" outlineLevel="0" collapsed="false">
      <c r="A111" s="3" t="s">
        <v>201</v>
      </c>
      <c r="B111" s="0" t="n">
        <v>6501</v>
      </c>
      <c r="C111" s="0" t="n">
        <v>4410</v>
      </c>
      <c r="D111" s="0" t="n">
        <v>1950</v>
      </c>
      <c r="E111" s="0" t="n">
        <v>141</v>
      </c>
      <c r="F111" s="0" t="n">
        <v>25704.5</v>
      </c>
      <c r="G111" s="0" t="n">
        <v>4140.8</v>
      </c>
      <c r="H111" s="3" t="s">
        <v>86</v>
      </c>
      <c r="I111" s="3" t="s">
        <v>67</v>
      </c>
      <c r="J111" s="3" t="s">
        <v>192</v>
      </c>
    </row>
    <row r="112" customFormat="false" ht="15" hidden="false" customHeight="false" outlineLevel="0" collapsed="false">
      <c r="A112" s="3" t="s">
        <v>202</v>
      </c>
      <c r="B112" s="0" t="n">
        <v>6442</v>
      </c>
      <c r="C112" s="0" t="n">
        <v>4351</v>
      </c>
      <c r="D112" s="0" t="n">
        <v>1933</v>
      </c>
      <c r="E112" s="0" t="n">
        <v>158</v>
      </c>
      <c r="F112" s="0" t="n">
        <v>25595.1</v>
      </c>
      <c r="G112" s="0" t="n">
        <v>4261.6</v>
      </c>
      <c r="H112" s="3" t="s">
        <v>88</v>
      </c>
      <c r="I112" s="3" t="s">
        <v>67</v>
      </c>
      <c r="J112" s="3" t="s">
        <v>192</v>
      </c>
    </row>
    <row r="113" customFormat="false" ht="15" hidden="false" customHeight="false" outlineLevel="0" collapsed="false">
      <c r="A113" s="3" t="s">
        <v>203</v>
      </c>
      <c r="B113" s="0" t="n">
        <v>6729</v>
      </c>
      <c r="C113" s="0" t="n">
        <v>4570</v>
      </c>
      <c r="D113" s="0" t="n">
        <v>2019</v>
      </c>
      <c r="E113" s="0" t="n">
        <v>140</v>
      </c>
      <c r="F113" s="0" t="n">
        <v>26050.5</v>
      </c>
      <c r="G113" s="0" t="n">
        <v>4600.2</v>
      </c>
      <c r="H113" s="3" t="s">
        <v>90</v>
      </c>
      <c r="I113" s="3" t="s">
        <v>67</v>
      </c>
      <c r="J113" s="3" t="s">
        <v>192</v>
      </c>
    </row>
    <row r="114" customFormat="false" ht="15" hidden="false" customHeight="false" outlineLevel="0" collapsed="false">
      <c r="A114" s="3" t="s">
        <v>204</v>
      </c>
      <c r="B114" s="0" t="n">
        <v>6616</v>
      </c>
      <c r="C114" s="0" t="n">
        <v>4196</v>
      </c>
      <c r="D114" s="0" t="n">
        <v>2249</v>
      </c>
      <c r="E114" s="0" t="n">
        <v>171</v>
      </c>
      <c r="F114" s="0" t="n">
        <v>23840.4</v>
      </c>
      <c r="G114" s="0" t="n">
        <v>3989.7</v>
      </c>
      <c r="H114" s="3" t="s">
        <v>92</v>
      </c>
      <c r="I114" s="3" t="s">
        <v>67</v>
      </c>
      <c r="J114" s="3" t="s">
        <v>192</v>
      </c>
    </row>
    <row r="115" customFormat="false" ht="15" hidden="false" customHeight="false" outlineLevel="0" collapsed="false">
      <c r="A115" s="3" t="s">
        <v>205</v>
      </c>
      <c r="B115" s="0" t="n">
        <v>6862</v>
      </c>
      <c r="C115" s="0" t="n">
        <v>4387</v>
      </c>
      <c r="D115" s="0" t="n">
        <v>2333</v>
      </c>
      <c r="E115" s="0" t="n">
        <v>142</v>
      </c>
      <c r="F115" s="0" t="n">
        <v>25320.8</v>
      </c>
      <c r="G115" s="0" t="n">
        <v>4442.8</v>
      </c>
      <c r="H115" s="3" t="s">
        <v>94</v>
      </c>
      <c r="I115" s="3" t="s">
        <v>67</v>
      </c>
      <c r="J115" s="3" t="s">
        <v>192</v>
      </c>
    </row>
    <row r="116" customFormat="false" ht="15" hidden="false" customHeight="false" outlineLevel="0" collapsed="false">
      <c r="A116" s="3" t="s">
        <v>206</v>
      </c>
      <c r="B116" s="0" t="n">
        <v>6765</v>
      </c>
      <c r="C116" s="0" t="n">
        <v>4294</v>
      </c>
      <c r="D116" s="0" t="n">
        <v>2300</v>
      </c>
      <c r="E116" s="0" t="n">
        <v>171</v>
      </c>
      <c r="F116" s="0" t="n">
        <v>25113.5</v>
      </c>
      <c r="G116" s="0" t="n">
        <v>3699.7</v>
      </c>
      <c r="H116" s="3" t="s">
        <v>96</v>
      </c>
      <c r="I116" s="3" t="s">
        <v>67</v>
      </c>
      <c r="J116" s="3" t="s">
        <v>192</v>
      </c>
    </row>
    <row r="117" customFormat="false" ht="15" hidden="false" customHeight="false" outlineLevel="0" collapsed="false">
      <c r="A117" s="3" t="s">
        <v>207</v>
      </c>
      <c r="B117" s="0" t="n">
        <v>6552</v>
      </c>
      <c r="C117" s="0" t="n">
        <v>4174</v>
      </c>
      <c r="D117" s="0" t="n">
        <v>2228</v>
      </c>
      <c r="E117" s="0" t="n">
        <v>150</v>
      </c>
      <c r="F117" s="0" t="n">
        <v>23807.9</v>
      </c>
      <c r="G117" s="0" t="n">
        <v>3826.5</v>
      </c>
      <c r="H117" s="3" t="s">
        <v>98</v>
      </c>
      <c r="I117" s="3" t="s">
        <v>67</v>
      </c>
      <c r="J117" s="3" t="s">
        <v>192</v>
      </c>
    </row>
    <row r="118" customFormat="false" ht="15" hidden="false" customHeight="false" outlineLevel="0" collapsed="false">
      <c r="A118" s="3" t="s">
        <v>208</v>
      </c>
      <c r="B118" s="0" t="n">
        <v>10831</v>
      </c>
      <c r="C118" s="0" t="n">
        <v>6505</v>
      </c>
      <c r="D118" s="0" t="n">
        <v>3683</v>
      </c>
      <c r="E118" s="0" t="n">
        <v>643</v>
      </c>
      <c r="F118" s="0" t="n">
        <v>37010.1</v>
      </c>
      <c r="G118" s="0" t="n">
        <v>19148.1</v>
      </c>
      <c r="H118" s="3" t="s">
        <v>100</v>
      </c>
      <c r="I118" s="3" t="s">
        <v>67</v>
      </c>
      <c r="J118" s="3" t="s">
        <v>192</v>
      </c>
    </row>
    <row r="119" customFormat="false" ht="15" hidden="false" customHeight="false" outlineLevel="0" collapsed="false">
      <c r="A119" s="3" t="s">
        <v>209</v>
      </c>
      <c r="B119" s="0" t="n">
        <v>6376</v>
      </c>
      <c r="C119" s="0" t="n">
        <v>4038</v>
      </c>
      <c r="D119" s="0" t="n">
        <v>2168</v>
      </c>
      <c r="E119" s="0" t="n">
        <v>170</v>
      </c>
      <c r="F119" s="0" t="n">
        <v>23892.2</v>
      </c>
      <c r="G119" s="0" t="n">
        <v>4775.3</v>
      </c>
      <c r="H119" s="3" t="s">
        <v>102</v>
      </c>
      <c r="I119" s="3" t="s">
        <v>67</v>
      </c>
      <c r="J119" s="3" t="s">
        <v>192</v>
      </c>
    </row>
    <row r="120" customFormat="false" ht="15" hidden="false" customHeight="false" outlineLevel="0" collapsed="false">
      <c r="A120" s="3" t="s">
        <v>210</v>
      </c>
      <c r="B120" s="0" t="n">
        <v>6595</v>
      </c>
      <c r="C120" s="0" t="n">
        <v>4208</v>
      </c>
      <c r="D120" s="0" t="n">
        <v>2242</v>
      </c>
      <c r="E120" s="0" t="n">
        <v>145</v>
      </c>
      <c r="F120" s="0" t="n">
        <v>23842.5</v>
      </c>
      <c r="G120" s="0" t="n">
        <v>3817.4</v>
      </c>
      <c r="H120" s="3" t="s">
        <v>104</v>
      </c>
      <c r="I120" s="3" t="s">
        <v>67</v>
      </c>
      <c r="J120" s="3" t="s">
        <v>192</v>
      </c>
    </row>
    <row r="121" customFormat="false" ht="15" hidden="false" customHeight="false" outlineLevel="0" collapsed="false">
      <c r="A121" s="3" t="s">
        <v>211</v>
      </c>
      <c r="B121" s="0" t="n">
        <v>6878</v>
      </c>
      <c r="C121" s="0" t="n">
        <v>4397</v>
      </c>
      <c r="D121" s="0" t="n">
        <v>2338</v>
      </c>
      <c r="E121" s="0" t="n">
        <v>143</v>
      </c>
      <c r="F121" s="0" t="n">
        <v>25146.8</v>
      </c>
      <c r="G121" s="0" t="n">
        <v>4490.7</v>
      </c>
      <c r="H121" s="3" t="s">
        <v>106</v>
      </c>
      <c r="I121" s="3" t="s">
        <v>67</v>
      </c>
      <c r="J121" s="3" t="s">
        <v>192</v>
      </c>
    </row>
    <row r="122" customFormat="false" ht="15" hidden="false" customHeight="false" outlineLevel="0" collapsed="false">
      <c r="A122" s="3" t="s">
        <v>212</v>
      </c>
      <c r="B122" s="0" t="n">
        <v>39231</v>
      </c>
      <c r="C122" s="0" t="n">
        <v>20764</v>
      </c>
      <c r="D122" s="0" t="n">
        <v>17654</v>
      </c>
      <c r="E122" s="0" t="n">
        <v>813</v>
      </c>
      <c r="F122" s="0" t="n">
        <v>147694.1</v>
      </c>
      <c r="G122" s="0" t="n">
        <v>17150.9</v>
      </c>
      <c r="H122" s="3" t="s">
        <v>36</v>
      </c>
      <c r="I122" s="3" t="s">
        <v>213</v>
      </c>
      <c r="J122" s="3" t="s">
        <v>214</v>
      </c>
    </row>
    <row r="123" customFormat="false" ht="15" hidden="false" customHeight="false" outlineLevel="0" collapsed="false">
      <c r="A123" s="3" t="s">
        <v>215</v>
      </c>
      <c r="B123" s="0" t="n">
        <v>35739</v>
      </c>
      <c r="C123" s="0" t="n">
        <v>18884</v>
      </c>
      <c r="D123" s="0" t="n">
        <v>16083</v>
      </c>
      <c r="E123" s="0" t="n">
        <v>772</v>
      </c>
      <c r="F123" s="0" t="n">
        <v>137949.4</v>
      </c>
      <c r="G123" s="0" t="n">
        <v>20589.4</v>
      </c>
      <c r="H123" s="3" t="s">
        <v>70</v>
      </c>
      <c r="I123" s="3" t="s">
        <v>213</v>
      </c>
      <c r="J123" s="3" t="s">
        <v>214</v>
      </c>
    </row>
    <row r="124" customFormat="false" ht="15" hidden="false" customHeight="false" outlineLevel="0" collapsed="false">
      <c r="A124" s="3" t="s">
        <v>216</v>
      </c>
      <c r="B124" s="0" t="n">
        <v>30746</v>
      </c>
      <c r="C124" s="0" t="n">
        <v>16333</v>
      </c>
      <c r="D124" s="0" t="n">
        <v>13836</v>
      </c>
      <c r="E124" s="0" t="n">
        <v>577</v>
      </c>
      <c r="F124" s="0" t="n">
        <v>118686.7</v>
      </c>
      <c r="G124" s="0" t="n">
        <v>16238.4</v>
      </c>
      <c r="H124" s="3" t="s">
        <v>72</v>
      </c>
      <c r="I124" s="3" t="s">
        <v>213</v>
      </c>
      <c r="J124" s="3" t="s">
        <v>214</v>
      </c>
    </row>
    <row r="125" customFormat="false" ht="15" hidden="false" customHeight="false" outlineLevel="0" collapsed="false">
      <c r="A125" s="3" t="s">
        <v>217</v>
      </c>
      <c r="B125" s="0" t="n">
        <v>27040</v>
      </c>
      <c r="C125" s="0" t="n">
        <v>14389</v>
      </c>
      <c r="D125" s="0" t="n">
        <v>12168</v>
      </c>
      <c r="E125" s="0" t="n">
        <v>483</v>
      </c>
      <c r="F125" s="0" t="n">
        <v>104440.6</v>
      </c>
      <c r="G125" s="0" t="n">
        <v>12502.6</v>
      </c>
      <c r="H125" s="3" t="s">
        <v>74</v>
      </c>
      <c r="I125" s="3" t="s">
        <v>213</v>
      </c>
      <c r="J125" s="3" t="s">
        <v>214</v>
      </c>
    </row>
    <row r="126" customFormat="false" ht="15" hidden="false" customHeight="false" outlineLevel="0" collapsed="false">
      <c r="A126" s="3" t="s">
        <v>218</v>
      </c>
      <c r="B126" s="0" t="n">
        <v>22899</v>
      </c>
      <c r="C126" s="0" t="n">
        <v>12004</v>
      </c>
      <c r="D126" s="0" t="n">
        <v>10305</v>
      </c>
      <c r="E126" s="0" t="n">
        <v>590</v>
      </c>
      <c r="F126" s="0" t="n">
        <v>86530.6</v>
      </c>
      <c r="G126" s="0" t="n">
        <v>11967.7</v>
      </c>
      <c r="H126" s="3" t="s">
        <v>76</v>
      </c>
      <c r="I126" s="3" t="s">
        <v>213</v>
      </c>
      <c r="J126" s="3" t="s">
        <v>214</v>
      </c>
    </row>
    <row r="127" customFormat="false" ht="15" hidden="false" customHeight="false" outlineLevel="0" collapsed="false">
      <c r="A127" s="3" t="s">
        <v>219</v>
      </c>
      <c r="B127" s="0" t="n">
        <v>21375</v>
      </c>
      <c r="C127" s="0" t="n">
        <v>11316</v>
      </c>
      <c r="D127" s="0" t="n">
        <v>9619</v>
      </c>
      <c r="E127" s="0" t="n">
        <v>440</v>
      </c>
      <c r="F127" s="0" t="n">
        <v>81940.3</v>
      </c>
      <c r="G127" s="0" t="n">
        <v>12163.3</v>
      </c>
      <c r="H127" s="3" t="s">
        <v>78</v>
      </c>
      <c r="I127" s="3" t="s">
        <v>213</v>
      </c>
      <c r="J127" s="3" t="s">
        <v>214</v>
      </c>
    </row>
    <row r="128" customFormat="false" ht="15" hidden="false" customHeight="false" outlineLevel="0" collapsed="false">
      <c r="A128" s="3" t="s">
        <v>220</v>
      </c>
      <c r="B128" s="0" t="n">
        <v>21115</v>
      </c>
      <c r="C128" s="0" t="n">
        <v>11093</v>
      </c>
      <c r="D128" s="0" t="n">
        <v>9502</v>
      </c>
      <c r="E128" s="0" t="n">
        <v>520</v>
      </c>
      <c r="F128" s="0" t="n">
        <v>79628.8</v>
      </c>
      <c r="G128" s="0" t="n">
        <v>9940.3</v>
      </c>
      <c r="H128" s="3" t="s">
        <v>80</v>
      </c>
      <c r="I128" s="3" t="s">
        <v>213</v>
      </c>
      <c r="J128" s="3" t="s">
        <v>214</v>
      </c>
    </row>
    <row r="129" customFormat="false" ht="15" hidden="false" customHeight="false" outlineLevel="0" collapsed="false">
      <c r="A129" s="3" t="s">
        <v>221</v>
      </c>
      <c r="B129" s="0" t="n">
        <v>20869</v>
      </c>
      <c r="C129" s="0" t="n">
        <v>10963</v>
      </c>
      <c r="D129" s="0" t="n">
        <v>9391</v>
      </c>
      <c r="E129" s="0" t="n">
        <v>515</v>
      </c>
      <c r="F129" s="0" t="n">
        <v>78219.7</v>
      </c>
      <c r="G129" s="0" t="n">
        <v>10169.6</v>
      </c>
      <c r="H129" s="3" t="s">
        <v>82</v>
      </c>
      <c r="I129" s="3" t="s">
        <v>213</v>
      </c>
      <c r="J129" s="3" t="s">
        <v>214</v>
      </c>
    </row>
    <row r="130" customFormat="false" ht="15" hidden="false" customHeight="false" outlineLevel="0" collapsed="false">
      <c r="A130" s="3" t="s">
        <v>222</v>
      </c>
      <c r="B130" s="0" t="n">
        <v>22435</v>
      </c>
      <c r="C130" s="0" t="n">
        <v>11887</v>
      </c>
      <c r="D130" s="0" t="n">
        <v>10096</v>
      </c>
      <c r="E130" s="0" t="n">
        <v>452</v>
      </c>
      <c r="F130" s="0" t="n">
        <v>84407.2</v>
      </c>
      <c r="G130" s="0" t="n">
        <v>12375.8</v>
      </c>
      <c r="H130" s="3" t="s">
        <v>84</v>
      </c>
      <c r="I130" s="3" t="s">
        <v>213</v>
      </c>
      <c r="J130" s="3" t="s">
        <v>214</v>
      </c>
    </row>
    <row r="131" customFormat="false" ht="15" hidden="false" customHeight="false" outlineLevel="0" collapsed="false">
      <c r="A131" s="3" t="s">
        <v>223</v>
      </c>
      <c r="B131" s="0" t="n">
        <v>26714</v>
      </c>
      <c r="C131" s="0" t="n">
        <v>14097</v>
      </c>
      <c r="D131" s="0" t="n">
        <v>12021</v>
      </c>
      <c r="E131" s="0" t="n">
        <v>596</v>
      </c>
      <c r="F131" s="0" t="n">
        <v>102821.5</v>
      </c>
      <c r="G131" s="0" t="n">
        <v>12198.4</v>
      </c>
      <c r="H131" s="3" t="s">
        <v>86</v>
      </c>
      <c r="I131" s="3" t="s">
        <v>213</v>
      </c>
      <c r="J131" s="3" t="s">
        <v>214</v>
      </c>
    </row>
    <row r="132" customFormat="false" ht="15" hidden="false" customHeight="false" outlineLevel="0" collapsed="false">
      <c r="A132" s="3" t="s">
        <v>224</v>
      </c>
      <c r="B132" s="0" t="n">
        <v>30319</v>
      </c>
      <c r="C132" s="0" t="n">
        <v>16066</v>
      </c>
      <c r="D132" s="0" t="n">
        <v>13644</v>
      </c>
      <c r="E132" s="0" t="n">
        <v>609</v>
      </c>
      <c r="F132" s="0" t="n">
        <v>113617.6</v>
      </c>
      <c r="G132" s="0" t="n">
        <v>16751.4</v>
      </c>
      <c r="H132" s="3" t="s">
        <v>88</v>
      </c>
      <c r="I132" s="3" t="s">
        <v>213</v>
      </c>
      <c r="J132" s="3" t="s">
        <v>214</v>
      </c>
    </row>
    <row r="133" customFormat="false" ht="15" hidden="false" customHeight="false" outlineLevel="0" collapsed="false">
      <c r="A133" s="3" t="s">
        <v>225</v>
      </c>
      <c r="B133" s="0" t="n">
        <v>33948</v>
      </c>
      <c r="C133" s="0" t="n">
        <v>17985</v>
      </c>
      <c r="D133" s="0" t="n">
        <v>15277</v>
      </c>
      <c r="E133" s="0" t="n">
        <v>686</v>
      </c>
      <c r="F133" s="0" t="n">
        <v>127437.3</v>
      </c>
      <c r="G133" s="0" t="n">
        <v>16843.2</v>
      </c>
      <c r="H133" s="3" t="s">
        <v>90</v>
      </c>
      <c r="I133" s="3" t="s">
        <v>213</v>
      </c>
      <c r="J133" s="3" t="s">
        <v>214</v>
      </c>
    </row>
    <row r="134" customFormat="false" ht="15" hidden="false" customHeight="false" outlineLevel="0" collapsed="false">
      <c r="A134" s="3" t="s">
        <v>226</v>
      </c>
      <c r="B134" s="0" t="n">
        <v>36501</v>
      </c>
      <c r="C134" s="0" t="n">
        <v>17877</v>
      </c>
      <c r="D134" s="0" t="n">
        <v>17885</v>
      </c>
      <c r="E134" s="0" t="n">
        <v>739</v>
      </c>
      <c r="F134" s="0" t="n">
        <v>125966</v>
      </c>
      <c r="G134" s="0" t="n">
        <v>19478.7</v>
      </c>
      <c r="H134" s="3" t="s">
        <v>92</v>
      </c>
      <c r="I134" s="3" t="s">
        <v>213</v>
      </c>
      <c r="J134" s="3" t="s">
        <v>214</v>
      </c>
    </row>
    <row r="135" customFormat="false" ht="15" hidden="false" customHeight="false" outlineLevel="0" collapsed="false">
      <c r="A135" s="3" t="s">
        <v>227</v>
      </c>
      <c r="B135" s="0" t="n">
        <v>32698</v>
      </c>
      <c r="C135" s="0" t="n">
        <v>16126</v>
      </c>
      <c r="D135" s="0" t="n">
        <v>16022</v>
      </c>
      <c r="E135" s="0" t="n">
        <v>550</v>
      </c>
      <c r="F135" s="0" t="n">
        <v>115287.7</v>
      </c>
      <c r="G135" s="0" t="n">
        <v>16590.1</v>
      </c>
      <c r="H135" s="3" t="s">
        <v>94</v>
      </c>
      <c r="I135" s="3" t="s">
        <v>213</v>
      </c>
      <c r="J135" s="3" t="s">
        <v>214</v>
      </c>
    </row>
    <row r="136" customFormat="false" ht="15" hidden="false" customHeight="false" outlineLevel="0" collapsed="false">
      <c r="A136" s="3" t="s">
        <v>228</v>
      </c>
      <c r="B136" s="0" t="n">
        <v>29554</v>
      </c>
      <c r="C136" s="0" t="n">
        <v>14510</v>
      </c>
      <c r="D136" s="0" t="n">
        <v>14481</v>
      </c>
      <c r="E136" s="0" t="n">
        <v>563</v>
      </c>
      <c r="F136" s="0" t="n">
        <v>103496.9</v>
      </c>
      <c r="G136" s="0" t="n">
        <v>13403.2</v>
      </c>
      <c r="H136" s="3" t="s">
        <v>96</v>
      </c>
      <c r="I136" s="3" t="s">
        <v>213</v>
      </c>
      <c r="J136" s="3" t="s">
        <v>214</v>
      </c>
    </row>
    <row r="137" customFormat="false" ht="15" hidden="false" customHeight="false" outlineLevel="0" collapsed="false">
      <c r="A137" s="3" t="s">
        <v>229</v>
      </c>
      <c r="B137" s="0" t="n">
        <v>26266</v>
      </c>
      <c r="C137" s="0" t="n">
        <v>12868</v>
      </c>
      <c r="D137" s="0" t="n">
        <v>12870</v>
      </c>
      <c r="E137" s="0" t="n">
        <v>528</v>
      </c>
      <c r="F137" s="0" t="n">
        <v>92685</v>
      </c>
      <c r="G137" s="0" t="n">
        <v>11628.5</v>
      </c>
      <c r="H137" s="3" t="s">
        <v>98</v>
      </c>
      <c r="I137" s="3" t="s">
        <v>213</v>
      </c>
      <c r="J137" s="3" t="s">
        <v>214</v>
      </c>
    </row>
    <row r="138" customFormat="false" ht="15" hidden="false" customHeight="false" outlineLevel="0" collapsed="false">
      <c r="A138" s="3" t="s">
        <v>230</v>
      </c>
      <c r="B138" s="0" t="n">
        <v>22574</v>
      </c>
      <c r="C138" s="0" t="n">
        <v>11104</v>
      </c>
      <c r="D138" s="0" t="n">
        <v>11061</v>
      </c>
      <c r="E138" s="0" t="n">
        <v>409</v>
      </c>
      <c r="F138" s="0" t="n">
        <v>77141.7</v>
      </c>
      <c r="G138" s="0" t="n">
        <v>8963.9</v>
      </c>
      <c r="H138" s="3" t="s">
        <v>100</v>
      </c>
      <c r="I138" s="3" t="s">
        <v>213</v>
      </c>
      <c r="J138" s="3" t="s">
        <v>214</v>
      </c>
    </row>
    <row r="139" customFormat="false" ht="15" hidden="false" customHeight="false" outlineLevel="0" collapsed="false">
      <c r="A139" s="3" t="s">
        <v>231</v>
      </c>
      <c r="B139" s="0" t="n">
        <v>20658</v>
      </c>
      <c r="C139" s="0" t="n">
        <v>10187</v>
      </c>
      <c r="D139" s="0" t="n">
        <v>10123</v>
      </c>
      <c r="E139" s="0" t="n">
        <v>348</v>
      </c>
      <c r="F139" s="0" t="n">
        <v>70640.8</v>
      </c>
      <c r="G139" s="0" t="n">
        <v>8297</v>
      </c>
      <c r="H139" s="3" t="s">
        <v>102</v>
      </c>
      <c r="I139" s="3" t="s">
        <v>213</v>
      </c>
      <c r="J139" s="3" t="s">
        <v>214</v>
      </c>
    </row>
    <row r="140" customFormat="false" ht="15" hidden="false" customHeight="false" outlineLevel="0" collapsed="false">
      <c r="A140" s="3" t="s">
        <v>232</v>
      </c>
      <c r="B140" s="0" t="n">
        <v>20852</v>
      </c>
      <c r="C140" s="0" t="n">
        <v>10175</v>
      </c>
      <c r="D140" s="0" t="n">
        <v>10218</v>
      </c>
      <c r="E140" s="0" t="n">
        <v>459</v>
      </c>
      <c r="F140" s="0" t="n">
        <v>71839.8</v>
      </c>
      <c r="G140" s="0" t="n">
        <v>9003.6</v>
      </c>
      <c r="H140" s="3" t="s">
        <v>104</v>
      </c>
      <c r="I140" s="3" t="s">
        <v>213</v>
      </c>
      <c r="J140" s="3" t="s">
        <v>214</v>
      </c>
    </row>
    <row r="141" customFormat="false" ht="15" hidden="false" customHeight="false" outlineLevel="0" collapsed="false">
      <c r="A141" s="3" t="s">
        <v>233</v>
      </c>
      <c r="B141" s="0" t="n">
        <v>21459</v>
      </c>
      <c r="C141" s="0" t="n">
        <v>10488</v>
      </c>
      <c r="D141" s="0" t="n">
        <v>10515</v>
      </c>
      <c r="E141" s="0" t="n">
        <v>456</v>
      </c>
      <c r="F141" s="0" t="n">
        <v>72623.3</v>
      </c>
      <c r="G141" s="0" t="n">
        <v>10307.3</v>
      </c>
      <c r="H141" s="3" t="s">
        <v>106</v>
      </c>
      <c r="I141" s="3" t="s">
        <v>213</v>
      </c>
      <c r="J141" s="3" t="s">
        <v>214</v>
      </c>
    </row>
    <row r="142" customFormat="false" ht="15" hidden="false" customHeight="false" outlineLevel="0" collapsed="false">
      <c r="A142" s="3" t="s">
        <v>234</v>
      </c>
      <c r="B142" s="0" t="n">
        <v>13956</v>
      </c>
      <c r="C142" s="0" t="n">
        <v>6676</v>
      </c>
      <c r="D142" s="0" t="n">
        <v>6978</v>
      </c>
      <c r="E142" s="0" t="n">
        <v>302</v>
      </c>
      <c r="F142" s="0" t="n">
        <v>55222.2</v>
      </c>
      <c r="G142" s="0" t="n">
        <v>6187.9</v>
      </c>
      <c r="H142" s="3" t="s">
        <v>36</v>
      </c>
      <c r="I142" s="3" t="s">
        <v>213</v>
      </c>
      <c r="J142" s="3" t="s">
        <v>235</v>
      </c>
    </row>
    <row r="143" customFormat="false" ht="15" hidden="false" customHeight="false" outlineLevel="0" collapsed="false">
      <c r="A143" s="3" t="s">
        <v>236</v>
      </c>
      <c r="B143" s="0" t="n">
        <v>13530</v>
      </c>
      <c r="C143" s="0" t="n">
        <v>6545</v>
      </c>
      <c r="D143" s="0" t="n">
        <v>6765</v>
      </c>
      <c r="E143" s="0" t="n">
        <v>220</v>
      </c>
      <c r="F143" s="0" t="n">
        <v>54707</v>
      </c>
      <c r="G143" s="0" t="n">
        <v>5959</v>
      </c>
      <c r="H143" s="3" t="s">
        <v>70</v>
      </c>
      <c r="I143" s="3" t="s">
        <v>213</v>
      </c>
      <c r="J143" s="3" t="s">
        <v>235</v>
      </c>
    </row>
    <row r="144" customFormat="false" ht="15" hidden="false" customHeight="false" outlineLevel="0" collapsed="false">
      <c r="A144" s="3" t="s">
        <v>237</v>
      </c>
      <c r="B144" s="0" t="n">
        <v>15311</v>
      </c>
      <c r="C144" s="0" t="n">
        <v>7393</v>
      </c>
      <c r="D144" s="0" t="n">
        <v>7656</v>
      </c>
      <c r="E144" s="0" t="n">
        <v>262</v>
      </c>
      <c r="F144" s="0" t="n">
        <v>60426.8</v>
      </c>
      <c r="G144" s="0" t="n">
        <v>6666.2</v>
      </c>
      <c r="H144" s="3" t="s">
        <v>72</v>
      </c>
      <c r="I144" s="3" t="s">
        <v>213</v>
      </c>
      <c r="J144" s="3" t="s">
        <v>235</v>
      </c>
    </row>
    <row r="145" customFormat="false" ht="15" hidden="false" customHeight="false" outlineLevel="0" collapsed="false">
      <c r="A145" s="3" t="s">
        <v>238</v>
      </c>
      <c r="B145" s="0" t="n">
        <v>14939</v>
      </c>
      <c r="C145" s="0" t="n">
        <v>7213</v>
      </c>
      <c r="D145" s="0" t="n">
        <v>7469</v>
      </c>
      <c r="E145" s="0" t="n">
        <v>257</v>
      </c>
      <c r="F145" s="0" t="n">
        <v>60634.4</v>
      </c>
      <c r="G145" s="0" t="n">
        <v>7423.8</v>
      </c>
      <c r="H145" s="3" t="s">
        <v>74</v>
      </c>
      <c r="I145" s="3" t="s">
        <v>213</v>
      </c>
      <c r="J145" s="3" t="s">
        <v>235</v>
      </c>
    </row>
    <row r="146" customFormat="false" ht="15" hidden="false" customHeight="false" outlineLevel="0" collapsed="false">
      <c r="A146" s="3" t="s">
        <v>239</v>
      </c>
      <c r="B146" s="0" t="n">
        <v>17607</v>
      </c>
      <c r="C146" s="0" t="n">
        <v>8401</v>
      </c>
      <c r="D146" s="0" t="n">
        <v>8803</v>
      </c>
      <c r="E146" s="0" t="n">
        <v>403</v>
      </c>
      <c r="F146" s="0" t="n">
        <v>71086.1</v>
      </c>
      <c r="G146" s="0" t="n">
        <v>7528.9</v>
      </c>
      <c r="H146" s="3" t="s">
        <v>76</v>
      </c>
      <c r="I146" s="3" t="s">
        <v>213</v>
      </c>
      <c r="J146" s="3" t="s">
        <v>235</v>
      </c>
    </row>
    <row r="147" customFormat="false" ht="15" hidden="false" customHeight="false" outlineLevel="0" collapsed="false">
      <c r="A147" s="3" t="s">
        <v>240</v>
      </c>
      <c r="B147" s="0" t="n">
        <v>18451</v>
      </c>
      <c r="C147" s="0" t="n">
        <v>8884</v>
      </c>
      <c r="D147" s="0" t="n">
        <v>9225</v>
      </c>
      <c r="E147" s="0" t="n">
        <v>342</v>
      </c>
      <c r="F147" s="0" t="n">
        <v>73446.8</v>
      </c>
      <c r="G147" s="0" t="n">
        <v>8947.1</v>
      </c>
      <c r="H147" s="3" t="s">
        <v>78</v>
      </c>
      <c r="I147" s="3" t="s">
        <v>213</v>
      </c>
      <c r="J147" s="3" t="s">
        <v>235</v>
      </c>
    </row>
    <row r="148" customFormat="false" ht="15" hidden="false" customHeight="false" outlineLevel="0" collapsed="false">
      <c r="A148" s="3" t="s">
        <v>241</v>
      </c>
      <c r="B148" s="0" t="n">
        <v>18639</v>
      </c>
      <c r="C148" s="0" t="n">
        <v>8950</v>
      </c>
      <c r="D148" s="0" t="n">
        <v>9320</v>
      </c>
      <c r="E148" s="0" t="n">
        <v>369</v>
      </c>
      <c r="F148" s="0" t="n">
        <v>73676.3</v>
      </c>
      <c r="G148" s="0" t="n">
        <v>8789.4</v>
      </c>
      <c r="H148" s="3" t="s">
        <v>80</v>
      </c>
      <c r="I148" s="3" t="s">
        <v>213</v>
      </c>
      <c r="J148" s="3" t="s">
        <v>235</v>
      </c>
    </row>
    <row r="149" customFormat="false" ht="15" hidden="false" customHeight="false" outlineLevel="0" collapsed="false">
      <c r="A149" s="3" t="s">
        <v>242</v>
      </c>
      <c r="B149" s="0" t="n">
        <v>16783</v>
      </c>
      <c r="C149" s="0" t="n">
        <v>8123</v>
      </c>
      <c r="D149" s="0" t="n">
        <v>8391</v>
      </c>
      <c r="E149" s="0" t="n">
        <v>269</v>
      </c>
      <c r="F149" s="0" t="n">
        <v>68692.8</v>
      </c>
      <c r="G149" s="0" t="n">
        <v>8037.9</v>
      </c>
      <c r="H149" s="3" t="s">
        <v>82</v>
      </c>
      <c r="I149" s="3" t="s">
        <v>213</v>
      </c>
      <c r="J149" s="3" t="s">
        <v>235</v>
      </c>
    </row>
    <row r="150" customFormat="false" ht="15" hidden="false" customHeight="false" outlineLevel="0" collapsed="false">
      <c r="A150" s="3" t="s">
        <v>243</v>
      </c>
      <c r="B150" s="0" t="n">
        <v>15060</v>
      </c>
      <c r="C150" s="0" t="n">
        <v>7252</v>
      </c>
      <c r="D150" s="0" t="n">
        <v>7530</v>
      </c>
      <c r="E150" s="0" t="n">
        <v>278</v>
      </c>
      <c r="F150" s="0" t="n">
        <v>61826.3</v>
      </c>
      <c r="G150" s="0" t="n">
        <v>7786.6</v>
      </c>
      <c r="H150" s="3" t="s">
        <v>84</v>
      </c>
      <c r="I150" s="3" t="s">
        <v>213</v>
      </c>
      <c r="J150" s="3" t="s">
        <v>235</v>
      </c>
    </row>
    <row r="151" customFormat="false" ht="15" hidden="false" customHeight="false" outlineLevel="0" collapsed="false">
      <c r="A151" s="3" t="s">
        <v>244</v>
      </c>
      <c r="B151" s="0" t="n">
        <v>14784</v>
      </c>
      <c r="C151" s="0" t="n">
        <v>7133</v>
      </c>
      <c r="D151" s="0" t="n">
        <v>7392</v>
      </c>
      <c r="E151" s="0" t="n">
        <v>259</v>
      </c>
      <c r="F151" s="0" t="n">
        <v>59617.9</v>
      </c>
      <c r="G151" s="0" t="n">
        <v>6120.2</v>
      </c>
      <c r="H151" s="3" t="s">
        <v>86</v>
      </c>
      <c r="I151" s="3" t="s">
        <v>213</v>
      </c>
      <c r="J151" s="3" t="s">
        <v>235</v>
      </c>
    </row>
    <row r="152" customFormat="false" ht="15" hidden="false" customHeight="false" outlineLevel="0" collapsed="false">
      <c r="A152" s="3" t="s">
        <v>245</v>
      </c>
      <c r="B152" s="0" t="n">
        <v>13932</v>
      </c>
      <c r="C152" s="0" t="n">
        <v>6737</v>
      </c>
      <c r="D152" s="0" t="n">
        <v>6966</v>
      </c>
      <c r="E152" s="0" t="n">
        <v>229</v>
      </c>
      <c r="F152" s="0" t="n">
        <v>58135.6</v>
      </c>
      <c r="G152" s="0" t="n">
        <v>7299</v>
      </c>
      <c r="H152" s="3" t="s">
        <v>88</v>
      </c>
      <c r="I152" s="3" t="s">
        <v>213</v>
      </c>
      <c r="J152" s="3" t="s">
        <v>235</v>
      </c>
    </row>
    <row r="153" customFormat="false" ht="15" hidden="false" customHeight="false" outlineLevel="0" collapsed="false">
      <c r="A153" s="3" t="s">
        <v>246</v>
      </c>
      <c r="B153" s="0" t="n">
        <v>17084</v>
      </c>
      <c r="C153" s="0" t="n">
        <v>8198</v>
      </c>
      <c r="D153" s="0" t="n">
        <v>8542</v>
      </c>
      <c r="E153" s="0" t="n">
        <v>344</v>
      </c>
      <c r="F153" s="0" t="n">
        <v>69223.1</v>
      </c>
      <c r="G153" s="0" t="n">
        <v>8953.2</v>
      </c>
      <c r="H153" s="3" t="s">
        <v>90</v>
      </c>
      <c r="I153" s="3" t="s">
        <v>213</v>
      </c>
      <c r="J153" s="3" t="s">
        <v>235</v>
      </c>
    </row>
    <row r="154" customFormat="false" ht="15" hidden="false" customHeight="false" outlineLevel="0" collapsed="false">
      <c r="A154" s="3" t="s">
        <v>247</v>
      </c>
      <c r="B154" s="0" t="n">
        <v>14649</v>
      </c>
      <c r="C154" s="0" t="n">
        <v>6499</v>
      </c>
      <c r="D154" s="0" t="n">
        <v>7910</v>
      </c>
      <c r="E154" s="0" t="n">
        <v>240</v>
      </c>
      <c r="F154" s="0" t="n">
        <v>56172.6</v>
      </c>
      <c r="G154" s="0" t="n">
        <v>6698.9</v>
      </c>
      <c r="H154" s="3" t="s">
        <v>92</v>
      </c>
      <c r="I154" s="3" t="s">
        <v>213</v>
      </c>
      <c r="J154" s="3" t="s">
        <v>235</v>
      </c>
    </row>
    <row r="155" customFormat="false" ht="15" hidden="false" customHeight="false" outlineLevel="0" collapsed="false">
      <c r="A155" s="3" t="s">
        <v>248</v>
      </c>
      <c r="B155" s="0" t="n">
        <v>14097</v>
      </c>
      <c r="C155" s="0" t="n">
        <v>6195</v>
      </c>
      <c r="D155" s="0" t="n">
        <v>7613</v>
      </c>
      <c r="E155" s="0" t="n">
        <v>289</v>
      </c>
      <c r="F155" s="0" t="n">
        <v>53494.1</v>
      </c>
      <c r="G155" s="0" t="n">
        <v>5726</v>
      </c>
      <c r="H155" s="3" t="s">
        <v>94</v>
      </c>
      <c r="I155" s="3" t="s">
        <v>213</v>
      </c>
      <c r="J155" s="3" t="s">
        <v>235</v>
      </c>
    </row>
    <row r="156" customFormat="false" ht="15" hidden="false" customHeight="false" outlineLevel="0" collapsed="false">
      <c r="A156" s="3" t="s">
        <v>249</v>
      </c>
      <c r="B156" s="0" t="n">
        <v>15063</v>
      </c>
      <c r="C156" s="0" t="n">
        <v>6658</v>
      </c>
      <c r="D156" s="0" t="n">
        <v>8134</v>
      </c>
      <c r="E156" s="0" t="n">
        <v>271</v>
      </c>
      <c r="F156" s="0" t="n">
        <v>54454.8</v>
      </c>
      <c r="G156" s="0" t="n">
        <v>6522.3</v>
      </c>
      <c r="H156" s="3" t="s">
        <v>96</v>
      </c>
      <c r="I156" s="3" t="s">
        <v>213</v>
      </c>
      <c r="J156" s="3" t="s">
        <v>235</v>
      </c>
    </row>
    <row r="157" customFormat="false" ht="15" hidden="false" customHeight="false" outlineLevel="0" collapsed="false">
      <c r="A157" s="3" t="s">
        <v>250</v>
      </c>
      <c r="B157" s="0" t="n">
        <v>15766</v>
      </c>
      <c r="C157" s="0" t="n">
        <v>7011</v>
      </c>
      <c r="D157" s="0" t="n">
        <v>8514</v>
      </c>
      <c r="E157" s="0" t="n">
        <v>241</v>
      </c>
      <c r="F157" s="0" t="n">
        <v>58555.4</v>
      </c>
      <c r="G157" s="0" t="n">
        <v>6478</v>
      </c>
      <c r="H157" s="3" t="s">
        <v>98</v>
      </c>
      <c r="I157" s="3" t="s">
        <v>213</v>
      </c>
      <c r="J157" s="3" t="s">
        <v>235</v>
      </c>
    </row>
    <row r="158" customFormat="false" ht="15" hidden="false" customHeight="false" outlineLevel="0" collapsed="false">
      <c r="A158" s="3" t="s">
        <v>251</v>
      </c>
      <c r="B158" s="0" t="n">
        <v>16958</v>
      </c>
      <c r="C158" s="0" t="n">
        <v>7476</v>
      </c>
      <c r="D158" s="0" t="n">
        <v>9157</v>
      </c>
      <c r="E158" s="0" t="n">
        <v>325</v>
      </c>
      <c r="F158" s="0" t="n">
        <v>63990.1</v>
      </c>
      <c r="G158" s="0" t="n">
        <v>8212.8</v>
      </c>
      <c r="H158" s="3" t="s">
        <v>100</v>
      </c>
      <c r="I158" s="3" t="s">
        <v>213</v>
      </c>
      <c r="J158" s="3" t="s">
        <v>235</v>
      </c>
    </row>
    <row r="159" customFormat="false" ht="15" hidden="false" customHeight="false" outlineLevel="0" collapsed="false">
      <c r="A159" s="3" t="s">
        <v>252</v>
      </c>
      <c r="B159" s="0" t="n">
        <v>18204</v>
      </c>
      <c r="C159" s="0" t="n">
        <v>8009</v>
      </c>
      <c r="D159" s="0" t="n">
        <v>9830</v>
      </c>
      <c r="E159" s="0" t="n">
        <v>365</v>
      </c>
      <c r="F159" s="0" t="n">
        <v>67235.6</v>
      </c>
      <c r="G159" s="0" t="n">
        <v>6811</v>
      </c>
      <c r="H159" s="3" t="s">
        <v>102</v>
      </c>
      <c r="I159" s="3" t="s">
        <v>213</v>
      </c>
      <c r="J159" s="3" t="s">
        <v>235</v>
      </c>
    </row>
    <row r="160" customFormat="false" ht="15" hidden="false" customHeight="false" outlineLevel="0" collapsed="false">
      <c r="A160" s="3" t="s">
        <v>253</v>
      </c>
      <c r="B160" s="0" t="n">
        <v>18512</v>
      </c>
      <c r="C160" s="0" t="n">
        <v>8239</v>
      </c>
      <c r="D160" s="0" t="n">
        <v>9997</v>
      </c>
      <c r="E160" s="0" t="n">
        <v>276</v>
      </c>
      <c r="F160" s="0" t="n">
        <v>68393.7</v>
      </c>
      <c r="G160" s="0" t="n">
        <v>8744</v>
      </c>
      <c r="H160" s="3" t="s">
        <v>104</v>
      </c>
      <c r="I160" s="3" t="s">
        <v>213</v>
      </c>
      <c r="J160" s="3" t="s">
        <v>235</v>
      </c>
    </row>
    <row r="161" customFormat="false" ht="15" hidden="false" customHeight="false" outlineLevel="0" collapsed="false">
      <c r="A161" s="3" t="s">
        <v>254</v>
      </c>
      <c r="B161" s="0" t="n">
        <v>17870</v>
      </c>
      <c r="C161" s="0" t="n">
        <v>7845</v>
      </c>
      <c r="D161" s="0" t="n">
        <v>9650</v>
      </c>
      <c r="E161" s="0" t="n">
        <v>375</v>
      </c>
      <c r="F161" s="0" t="n">
        <v>65964.5</v>
      </c>
      <c r="G161" s="0" t="n">
        <v>7563.8</v>
      </c>
      <c r="H161" s="3" t="s">
        <v>106</v>
      </c>
      <c r="I161" s="3" t="s">
        <v>213</v>
      </c>
      <c r="J161" s="3" t="s">
        <v>235</v>
      </c>
    </row>
    <row r="162" customFormat="false" ht="15" hidden="false" customHeight="false" outlineLevel="0" collapsed="false">
      <c r="A162" s="3" t="s">
        <v>255</v>
      </c>
      <c r="B162" s="0" t="n">
        <v>3689</v>
      </c>
      <c r="C162" s="0" t="n">
        <v>3664</v>
      </c>
      <c r="D162" s="0" t="n">
        <v>0</v>
      </c>
      <c r="E162" s="0" t="n">
        <v>25</v>
      </c>
      <c r="F162" s="0" t="n">
        <v>13074.5</v>
      </c>
      <c r="G162" s="0" t="n">
        <v>695.1</v>
      </c>
      <c r="H162" s="3" t="s">
        <v>36</v>
      </c>
      <c r="I162" s="3" t="s">
        <v>213</v>
      </c>
      <c r="J162" s="3" t="s">
        <v>256</v>
      </c>
    </row>
    <row r="163" customFormat="false" ht="15" hidden="false" customHeight="false" outlineLevel="0" collapsed="false">
      <c r="A163" s="3" t="s">
        <v>257</v>
      </c>
      <c r="B163" s="0" t="n">
        <v>3563</v>
      </c>
      <c r="C163" s="0" t="n">
        <v>3536</v>
      </c>
      <c r="D163" s="0" t="n">
        <v>0</v>
      </c>
      <c r="E163" s="0" t="n">
        <v>27</v>
      </c>
      <c r="F163" s="0" t="n">
        <v>12960</v>
      </c>
      <c r="G163" s="0" t="n">
        <v>592.9</v>
      </c>
      <c r="H163" s="3" t="s">
        <v>70</v>
      </c>
      <c r="I163" s="3" t="s">
        <v>213</v>
      </c>
      <c r="J163" s="3" t="s">
        <v>256</v>
      </c>
    </row>
    <row r="164" customFormat="false" ht="15" hidden="false" customHeight="false" outlineLevel="0" collapsed="false">
      <c r="A164" s="3" t="s">
        <v>258</v>
      </c>
      <c r="B164" s="0" t="n">
        <v>3117</v>
      </c>
      <c r="C164" s="0" t="n">
        <v>3091</v>
      </c>
      <c r="D164" s="0" t="n">
        <v>0</v>
      </c>
      <c r="E164" s="0" t="n">
        <v>26</v>
      </c>
      <c r="F164" s="0" t="n">
        <v>11037.9</v>
      </c>
      <c r="G164" s="0" t="n">
        <v>689.4</v>
      </c>
      <c r="H164" s="3" t="s">
        <v>72</v>
      </c>
      <c r="I164" s="3" t="s">
        <v>213</v>
      </c>
      <c r="J164" s="3" t="s">
        <v>256</v>
      </c>
    </row>
    <row r="165" customFormat="false" ht="15" hidden="false" customHeight="false" outlineLevel="0" collapsed="false">
      <c r="A165" s="3" t="s">
        <v>259</v>
      </c>
      <c r="B165" s="0" t="n">
        <v>3014</v>
      </c>
      <c r="C165" s="0" t="n">
        <v>2991</v>
      </c>
      <c r="D165" s="0" t="n">
        <v>0</v>
      </c>
      <c r="E165" s="0" t="n">
        <v>23</v>
      </c>
      <c r="F165" s="0" t="n">
        <v>10699.6</v>
      </c>
      <c r="G165" s="0" t="n">
        <v>749.9</v>
      </c>
      <c r="H165" s="3" t="s">
        <v>74</v>
      </c>
      <c r="I165" s="3" t="s">
        <v>213</v>
      </c>
      <c r="J165" s="3" t="s">
        <v>256</v>
      </c>
    </row>
    <row r="166" customFormat="false" ht="15" hidden="false" customHeight="false" outlineLevel="0" collapsed="false">
      <c r="A166" s="3" t="s">
        <v>260</v>
      </c>
      <c r="B166" s="0" t="n">
        <v>2939</v>
      </c>
      <c r="C166" s="0" t="n">
        <v>2911</v>
      </c>
      <c r="D166" s="0" t="n">
        <v>0</v>
      </c>
      <c r="E166" s="0" t="n">
        <v>28</v>
      </c>
      <c r="F166" s="0" t="n">
        <v>10753.6</v>
      </c>
      <c r="G166" s="0" t="n">
        <v>605.7</v>
      </c>
      <c r="H166" s="3" t="s">
        <v>76</v>
      </c>
      <c r="I166" s="3" t="s">
        <v>213</v>
      </c>
      <c r="J166" s="3" t="s">
        <v>256</v>
      </c>
    </row>
    <row r="167" customFormat="false" ht="15" hidden="false" customHeight="false" outlineLevel="0" collapsed="false">
      <c r="A167" s="3" t="s">
        <v>261</v>
      </c>
      <c r="B167" s="0" t="n">
        <v>2895</v>
      </c>
      <c r="C167" s="0" t="n">
        <v>2874</v>
      </c>
      <c r="D167" s="0" t="n">
        <v>0</v>
      </c>
      <c r="E167" s="0" t="n">
        <v>21</v>
      </c>
      <c r="F167" s="0" t="n">
        <v>10434.4</v>
      </c>
      <c r="G167" s="0" t="n">
        <v>666.9</v>
      </c>
      <c r="H167" s="3" t="s">
        <v>78</v>
      </c>
      <c r="I167" s="3" t="s">
        <v>213</v>
      </c>
      <c r="J167" s="3" t="s">
        <v>256</v>
      </c>
    </row>
    <row r="168" customFormat="false" ht="15" hidden="false" customHeight="false" outlineLevel="0" collapsed="false">
      <c r="A168" s="3" t="s">
        <v>262</v>
      </c>
      <c r="B168" s="0" t="n">
        <v>2894</v>
      </c>
      <c r="C168" s="0" t="n">
        <v>2867</v>
      </c>
      <c r="D168" s="0" t="n">
        <v>0</v>
      </c>
      <c r="E168" s="0" t="n">
        <v>27</v>
      </c>
      <c r="F168" s="0" t="n">
        <v>10575.3</v>
      </c>
      <c r="G168" s="0" t="n">
        <v>764.1</v>
      </c>
      <c r="H168" s="3" t="s">
        <v>80</v>
      </c>
      <c r="I168" s="3" t="s">
        <v>213</v>
      </c>
      <c r="J168" s="3" t="s">
        <v>256</v>
      </c>
    </row>
    <row r="169" customFormat="false" ht="15" hidden="false" customHeight="false" outlineLevel="0" collapsed="false">
      <c r="A169" s="3" t="s">
        <v>263</v>
      </c>
      <c r="B169" s="0" t="n">
        <v>2884</v>
      </c>
      <c r="C169" s="0" t="n">
        <v>2857</v>
      </c>
      <c r="D169" s="0" t="n">
        <v>0</v>
      </c>
      <c r="E169" s="0" t="n">
        <v>27</v>
      </c>
      <c r="F169" s="0" t="n">
        <v>10079.3</v>
      </c>
      <c r="G169" s="0" t="n">
        <v>500.8</v>
      </c>
      <c r="H169" s="3" t="s">
        <v>82</v>
      </c>
      <c r="I169" s="3" t="s">
        <v>213</v>
      </c>
      <c r="J169" s="3" t="s">
        <v>256</v>
      </c>
    </row>
    <row r="170" customFormat="false" ht="15" hidden="false" customHeight="false" outlineLevel="0" collapsed="false">
      <c r="A170" s="3" t="s">
        <v>264</v>
      </c>
      <c r="B170" s="0" t="n">
        <v>2922</v>
      </c>
      <c r="C170" s="0" t="n">
        <v>2895</v>
      </c>
      <c r="D170" s="0" t="n">
        <v>0</v>
      </c>
      <c r="E170" s="0" t="n">
        <v>27</v>
      </c>
      <c r="F170" s="0" t="n">
        <v>10254</v>
      </c>
      <c r="G170" s="0" t="n">
        <v>610.8</v>
      </c>
      <c r="H170" s="3" t="s">
        <v>84</v>
      </c>
      <c r="I170" s="3" t="s">
        <v>213</v>
      </c>
      <c r="J170" s="3" t="s">
        <v>256</v>
      </c>
    </row>
    <row r="171" customFormat="false" ht="15" hidden="false" customHeight="false" outlineLevel="0" collapsed="false">
      <c r="A171" s="3" t="s">
        <v>265</v>
      </c>
      <c r="B171" s="0" t="n">
        <v>2936</v>
      </c>
      <c r="C171" s="0" t="n">
        <v>2915</v>
      </c>
      <c r="D171" s="0" t="n">
        <v>0</v>
      </c>
      <c r="E171" s="0" t="n">
        <v>21</v>
      </c>
      <c r="F171" s="0" t="n">
        <v>10723.2</v>
      </c>
      <c r="G171" s="0" t="n">
        <v>773.5</v>
      </c>
      <c r="H171" s="3" t="s">
        <v>86</v>
      </c>
      <c r="I171" s="3" t="s">
        <v>213</v>
      </c>
      <c r="J171" s="3" t="s">
        <v>256</v>
      </c>
    </row>
    <row r="172" customFormat="false" ht="15" hidden="false" customHeight="false" outlineLevel="0" collapsed="false">
      <c r="A172" s="3" t="s">
        <v>266</v>
      </c>
      <c r="B172" s="0" t="n">
        <v>3317</v>
      </c>
      <c r="C172" s="0" t="n">
        <v>3293</v>
      </c>
      <c r="D172" s="0" t="n">
        <v>0</v>
      </c>
      <c r="E172" s="0" t="n">
        <v>24</v>
      </c>
      <c r="F172" s="0" t="n">
        <v>11752.3</v>
      </c>
      <c r="G172" s="0" t="n">
        <v>572.6</v>
      </c>
      <c r="H172" s="3" t="s">
        <v>88</v>
      </c>
      <c r="I172" s="3" t="s">
        <v>213</v>
      </c>
      <c r="J172" s="3" t="s">
        <v>256</v>
      </c>
    </row>
    <row r="173" customFormat="false" ht="15" hidden="false" customHeight="false" outlineLevel="0" collapsed="false">
      <c r="A173" s="3" t="s">
        <v>267</v>
      </c>
      <c r="B173" s="0" t="n">
        <v>3365</v>
      </c>
      <c r="C173" s="0" t="n">
        <v>3336</v>
      </c>
      <c r="D173" s="0" t="n">
        <v>0</v>
      </c>
      <c r="E173" s="0" t="n">
        <v>29</v>
      </c>
      <c r="F173" s="0" t="n">
        <v>12220.9</v>
      </c>
      <c r="G173" s="0" t="n">
        <v>638.6</v>
      </c>
      <c r="H173" s="3" t="s">
        <v>90</v>
      </c>
      <c r="I173" s="3" t="s">
        <v>213</v>
      </c>
      <c r="J173" s="3" t="s">
        <v>256</v>
      </c>
    </row>
    <row r="174" customFormat="false" ht="15" hidden="false" customHeight="false" outlineLevel="0" collapsed="false">
      <c r="A174" s="3" t="s">
        <v>268</v>
      </c>
      <c r="B174" s="0" t="n">
        <v>4624</v>
      </c>
      <c r="C174" s="0" t="n">
        <v>4584</v>
      </c>
      <c r="D174" s="0" t="n">
        <v>0</v>
      </c>
      <c r="E174" s="0" t="n">
        <v>40</v>
      </c>
      <c r="F174" s="0" t="n">
        <v>16162.1</v>
      </c>
      <c r="G174" s="0" t="n">
        <v>847.2</v>
      </c>
      <c r="H174" s="3" t="s">
        <v>92</v>
      </c>
      <c r="I174" s="3" t="s">
        <v>213</v>
      </c>
      <c r="J174" s="3" t="s">
        <v>256</v>
      </c>
    </row>
    <row r="175" customFormat="false" ht="15" hidden="false" customHeight="false" outlineLevel="0" collapsed="false">
      <c r="A175" s="3" t="s">
        <v>269</v>
      </c>
      <c r="B175" s="0" t="n">
        <v>3809</v>
      </c>
      <c r="C175" s="0" t="n">
        <v>3780</v>
      </c>
      <c r="D175" s="0" t="n">
        <v>0</v>
      </c>
      <c r="E175" s="0" t="n">
        <v>29</v>
      </c>
      <c r="F175" s="0" t="n">
        <v>13837.5</v>
      </c>
      <c r="G175" s="0" t="n">
        <v>642</v>
      </c>
      <c r="H175" s="3" t="s">
        <v>94</v>
      </c>
      <c r="I175" s="3" t="s">
        <v>213</v>
      </c>
      <c r="J175" s="3" t="s">
        <v>256</v>
      </c>
    </row>
    <row r="176" customFormat="false" ht="15" hidden="false" customHeight="false" outlineLevel="0" collapsed="false">
      <c r="A176" s="3" t="s">
        <v>270</v>
      </c>
      <c r="B176" s="0" t="n">
        <v>3373</v>
      </c>
      <c r="C176" s="0" t="n">
        <v>3342</v>
      </c>
      <c r="D176" s="0" t="n">
        <v>0</v>
      </c>
      <c r="E176" s="0" t="n">
        <v>31</v>
      </c>
      <c r="F176" s="0" t="n">
        <v>11775.2</v>
      </c>
      <c r="G176" s="0" t="n">
        <v>846.1</v>
      </c>
      <c r="H176" s="3" t="s">
        <v>96</v>
      </c>
      <c r="I176" s="3" t="s">
        <v>213</v>
      </c>
      <c r="J176" s="3" t="s">
        <v>256</v>
      </c>
    </row>
    <row r="177" customFormat="false" ht="15" hidden="false" customHeight="false" outlineLevel="0" collapsed="false">
      <c r="A177" s="3" t="s">
        <v>271</v>
      </c>
      <c r="B177" s="0" t="n">
        <v>3216</v>
      </c>
      <c r="C177" s="0" t="n">
        <v>3189</v>
      </c>
      <c r="D177" s="0" t="n">
        <v>0</v>
      </c>
      <c r="E177" s="0" t="n">
        <v>27</v>
      </c>
      <c r="F177" s="0" t="n">
        <v>11143.1</v>
      </c>
      <c r="G177" s="0" t="n">
        <v>848.7</v>
      </c>
      <c r="H177" s="3" t="s">
        <v>98</v>
      </c>
      <c r="I177" s="3" t="s">
        <v>213</v>
      </c>
      <c r="J177" s="3" t="s">
        <v>256</v>
      </c>
    </row>
    <row r="178" customFormat="false" ht="15" hidden="false" customHeight="false" outlineLevel="0" collapsed="false">
      <c r="A178" s="3" t="s">
        <v>272</v>
      </c>
      <c r="B178" s="0" t="n">
        <v>3165</v>
      </c>
      <c r="C178" s="0" t="n">
        <v>3136</v>
      </c>
      <c r="D178" s="0" t="n">
        <v>0</v>
      </c>
      <c r="E178" s="0" t="n">
        <v>29</v>
      </c>
      <c r="F178" s="0" t="n">
        <v>11623.4</v>
      </c>
      <c r="G178" s="0" t="n">
        <v>826</v>
      </c>
      <c r="H178" s="3" t="s">
        <v>100</v>
      </c>
      <c r="I178" s="3" t="s">
        <v>213</v>
      </c>
      <c r="J178" s="3" t="s">
        <v>256</v>
      </c>
    </row>
    <row r="179" customFormat="false" ht="15" hidden="false" customHeight="false" outlineLevel="0" collapsed="false">
      <c r="A179" s="3" t="s">
        <v>273</v>
      </c>
      <c r="B179" s="0" t="n">
        <v>2816</v>
      </c>
      <c r="C179" s="0" t="n">
        <v>2795</v>
      </c>
      <c r="D179" s="0" t="n">
        <v>0</v>
      </c>
      <c r="E179" s="0" t="n">
        <v>21</v>
      </c>
      <c r="F179" s="0" t="n">
        <v>10360.9</v>
      </c>
      <c r="G179" s="0" t="n">
        <v>648.5</v>
      </c>
      <c r="H179" s="3" t="s">
        <v>102</v>
      </c>
      <c r="I179" s="3" t="s">
        <v>213</v>
      </c>
      <c r="J179" s="3" t="s">
        <v>256</v>
      </c>
    </row>
    <row r="180" customFormat="false" ht="15" hidden="false" customHeight="false" outlineLevel="0" collapsed="false">
      <c r="A180" s="3" t="s">
        <v>274</v>
      </c>
      <c r="B180" s="0" t="n">
        <v>2888</v>
      </c>
      <c r="C180" s="0" t="n">
        <v>2864</v>
      </c>
      <c r="D180" s="0" t="n">
        <v>0</v>
      </c>
      <c r="E180" s="0" t="n">
        <v>24</v>
      </c>
      <c r="F180" s="0" t="n">
        <v>10177.7</v>
      </c>
      <c r="G180" s="0" t="n">
        <v>662.3</v>
      </c>
      <c r="H180" s="3" t="s">
        <v>104</v>
      </c>
      <c r="I180" s="3" t="s">
        <v>213</v>
      </c>
      <c r="J180" s="3" t="s">
        <v>256</v>
      </c>
    </row>
    <row r="181" customFormat="false" ht="15" hidden="false" customHeight="false" outlineLevel="0" collapsed="false">
      <c r="A181" s="3" t="s">
        <v>275</v>
      </c>
      <c r="B181" s="0" t="n">
        <v>2960</v>
      </c>
      <c r="C181" s="0" t="n">
        <v>2935</v>
      </c>
      <c r="D181" s="0" t="n">
        <v>0</v>
      </c>
      <c r="E181" s="0" t="n">
        <v>25</v>
      </c>
      <c r="F181" s="0" t="n">
        <v>10880.8</v>
      </c>
      <c r="G181" s="0" t="n">
        <v>544.5</v>
      </c>
      <c r="H181" s="3" t="s">
        <v>106</v>
      </c>
      <c r="I181" s="3" t="s">
        <v>213</v>
      </c>
      <c r="J181" s="3" t="s">
        <v>256</v>
      </c>
    </row>
    <row r="182" customFormat="false" ht="15" hidden="false" customHeight="false" outlineLevel="0" collapsed="false">
      <c r="A182" s="3" t="s">
        <v>276</v>
      </c>
      <c r="B182" s="0" t="n">
        <v>16755</v>
      </c>
      <c r="C182" s="0" t="n">
        <v>7191</v>
      </c>
      <c r="D182" s="0" t="n">
        <v>9215</v>
      </c>
      <c r="E182" s="0" t="n">
        <v>349</v>
      </c>
      <c r="F182" s="0" t="n">
        <v>63005.2</v>
      </c>
      <c r="G182" s="0" t="n">
        <v>7204.1</v>
      </c>
      <c r="H182" s="3" t="s">
        <v>36</v>
      </c>
      <c r="I182" s="3" t="s">
        <v>213</v>
      </c>
      <c r="J182" s="3" t="s">
        <v>277</v>
      </c>
    </row>
    <row r="183" customFormat="false" ht="15" hidden="false" customHeight="false" outlineLevel="0" collapsed="false">
      <c r="A183" s="3" t="s">
        <v>278</v>
      </c>
      <c r="B183" s="0" t="n">
        <v>15789</v>
      </c>
      <c r="C183" s="0" t="n">
        <v>6793</v>
      </c>
      <c r="D183" s="0" t="n">
        <v>8684</v>
      </c>
      <c r="E183" s="0" t="n">
        <v>312</v>
      </c>
      <c r="F183" s="0" t="n">
        <v>60628.2</v>
      </c>
      <c r="G183" s="0" t="n">
        <v>7018.2</v>
      </c>
      <c r="H183" s="3" t="s">
        <v>70</v>
      </c>
      <c r="I183" s="3" t="s">
        <v>213</v>
      </c>
      <c r="J183" s="3" t="s">
        <v>277</v>
      </c>
    </row>
    <row r="184" customFormat="false" ht="15" hidden="false" customHeight="false" outlineLevel="0" collapsed="false">
      <c r="A184" s="3" t="s">
        <v>279</v>
      </c>
      <c r="B184" s="0" t="n">
        <v>13106</v>
      </c>
      <c r="C184" s="0" t="n">
        <v>5624</v>
      </c>
      <c r="D184" s="0" t="n">
        <v>7208</v>
      </c>
      <c r="E184" s="0" t="n">
        <v>274</v>
      </c>
      <c r="F184" s="0" t="n">
        <v>48636.8</v>
      </c>
      <c r="G184" s="0" t="n">
        <v>4548</v>
      </c>
      <c r="H184" s="3" t="s">
        <v>72</v>
      </c>
      <c r="I184" s="3" t="s">
        <v>213</v>
      </c>
      <c r="J184" s="3" t="s">
        <v>277</v>
      </c>
    </row>
    <row r="185" customFormat="false" ht="15" hidden="false" customHeight="false" outlineLevel="0" collapsed="false">
      <c r="A185" s="3" t="s">
        <v>280</v>
      </c>
      <c r="B185" s="0" t="n">
        <v>12353</v>
      </c>
      <c r="C185" s="0" t="n">
        <v>5339</v>
      </c>
      <c r="D185" s="0" t="n">
        <v>6794</v>
      </c>
      <c r="E185" s="0" t="n">
        <v>220</v>
      </c>
      <c r="F185" s="0" t="n">
        <v>46956.5</v>
      </c>
      <c r="G185" s="0" t="n">
        <v>5128.4</v>
      </c>
      <c r="H185" s="3" t="s">
        <v>74</v>
      </c>
      <c r="I185" s="3" t="s">
        <v>213</v>
      </c>
      <c r="J185" s="3" t="s">
        <v>277</v>
      </c>
    </row>
    <row r="186" customFormat="false" ht="15" hidden="false" customHeight="false" outlineLevel="0" collapsed="false">
      <c r="A186" s="3" t="s">
        <v>281</v>
      </c>
      <c r="B186" s="0" t="n">
        <v>10865</v>
      </c>
      <c r="C186" s="0" t="n">
        <v>4686</v>
      </c>
      <c r="D186" s="0" t="n">
        <v>5976</v>
      </c>
      <c r="E186" s="0" t="n">
        <v>203</v>
      </c>
      <c r="F186" s="0" t="n">
        <v>42836.8</v>
      </c>
      <c r="G186" s="0" t="n">
        <v>3881</v>
      </c>
      <c r="H186" s="3" t="s">
        <v>76</v>
      </c>
      <c r="I186" s="3" t="s">
        <v>213</v>
      </c>
      <c r="J186" s="3" t="s">
        <v>277</v>
      </c>
    </row>
    <row r="187" customFormat="false" ht="15" hidden="false" customHeight="false" outlineLevel="0" collapsed="false">
      <c r="A187" s="3" t="s">
        <v>282</v>
      </c>
      <c r="B187" s="0" t="n">
        <v>9446</v>
      </c>
      <c r="C187" s="0" t="n">
        <v>4111</v>
      </c>
      <c r="D187" s="0" t="n">
        <v>5195</v>
      </c>
      <c r="E187" s="0" t="n">
        <v>140</v>
      </c>
      <c r="F187" s="0" t="n">
        <v>36012.4</v>
      </c>
      <c r="G187" s="0" t="n">
        <v>3661.8</v>
      </c>
      <c r="H187" s="3" t="s">
        <v>78</v>
      </c>
      <c r="I187" s="3" t="s">
        <v>213</v>
      </c>
      <c r="J187" s="3" t="s">
        <v>277</v>
      </c>
    </row>
    <row r="188" customFormat="false" ht="15" hidden="false" customHeight="false" outlineLevel="0" collapsed="false">
      <c r="A188" s="3" t="s">
        <v>283</v>
      </c>
      <c r="B188" s="0" t="n">
        <v>9630</v>
      </c>
      <c r="C188" s="0" t="n">
        <v>4183</v>
      </c>
      <c r="D188" s="0" t="n">
        <v>5297</v>
      </c>
      <c r="E188" s="0" t="n">
        <v>150</v>
      </c>
      <c r="F188" s="0" t="n">
        <v>37344.4</v>
      </c>
      <c r="G188" s="0" t="n">
        <v>4327.9</v>
      </c>
      <c r="H188" s="3" t="s">
        <v>80</v>
      </c>
      <c r="I188" s="3" t="s">
        <v>213</v>
      </c>
      <c r="J188" s="3" t="s">
        <v>277</v>
      </c>
    </row>
    <row r="189" customFormat="false" ht="15" hidden="false" customHeight="false" outlineLevel="0" collapsed="false">
      <c r="A189" s="3" t="s">
        <v>284</v>
      </c>
      <c r="B189" s="0" t="n">
        <v>9928</v>
      </c>
      <c r="C189" s="0" t="n">
        <v>4284</v>
      </c>
      <c r="D189" s="0" t="n">
        <v>5460</v>
      </c>
      <c r="E189" s="0" t="n">
        <v>184</v>
      </c>
      <c r="F189" s="0" t="n">
        <v>37559</v>
      </c>
      <c r="G189" s="0" t="n">
        <v>3824.6</v>
      </c>
      <c r="H189" s="3" t="s">
        <v>82</v>
      </c>
      <c r="I189" s="3" t="s">
        <v>213</v>
      </c>
      <c r="J189" s="3" t="s">
        <v>277</v>
      </c>
    </row>
    <row r="190" customFormat="false" ht="15" hidden="false" customHeight="false" outlineLevel="0" collapsed="false">
      <c r="A190" s="3" t="s">
        <v>285</v>
      </c>
      <c r="B190" s="0" t="n">
        <v>10587</v>
      </c>
      <c r="C190" s="0" t="n">
        <v>4593</v>
      </c>
      <c r="D190" s="0" t="n">
        <v>5823</v>
      </c>
      <c r="E190" s="0" t="n">
        <v>171</v>
      </c>
      <c r="F190" s="0" t="n">
        <v>41095.1</v>
      </c>
      <c r="G190" s="0" t="n">
        <v>4631.7</v>
      </c>
      <c r="H190" s="3" t="s">
        <v>84</v>
      </c>
      <c r="I190" s="3" t="s">
        <v>213</v>
      </c>
      <c r="J190" s="3" t="s">
        <v>277</v>
      </c>
    </row>
    <row r="191" customFormat="false" ht="15" hidden="false" customHeight="false" outlineLevel="0" collapsed="false">
      <c r="A191" s="3" t="s">
        <v>286</v>
      </c>
      <c r="B191" s="0" t="n">
        <v>11914</v>
      </c>
      <c r="C191" s="0" t="n">
        <v>5178</v>
      </c>
      <c r="D191" s="0" t="n">
        <v>6553</v>
      </c>
      <c r="E191" s="0" t="n">
        <v>183</v>
      </c>
      <c r="F191" s="0" t="n">
        <v>45884</v>
      </c>
      <c r="G191" s="0" t="n">
        <v>4837.5</v>
      </c>
      <c r="H191" s="3" t="s">
        <v>86</v>
      </c>
      <c r="I191" s="3" t="s">
        <v>213</v>
      </c>
      <c r="J191" s="3" t="s">
        <v>277</v>
      </c>
    </row>
    <row r="192" customFormat="false" ht="15" hidden="false" customHeight="false" outlineLevel="0" collapsed="false">
      <c r="A192" s="3" t="s">
        <v>287</v>
      </c>
      <c r="B192" s="0" t="n">
        <v>13787</v>
      </c>
      <c r="C192" s="0" t="n">
        <v>5996</v>
      </c>
      <c r="D192" s="0" t="n">
        <v>7583</v>
      </c>
      <c r="E192" s="0" t="n">
        <v>208</v>
      </c>
      <c r="F192" s="0" t="n">
        <v>53557.1</v>
      </c>
      <c r="G192" s="0" t="n">
        <v>5245.4</v>
      </c>
      <c r="H192" s="3" t="s">
        <v>88</v>
      </c>
      <c r="I192" s="3" t="s">
        <v>213</v>
      </c>
      <c r="J192" s="3" t="s">
        <v>277</v>
      </c>
    </row>
    <row r="193" customFormat="false" ht="15" hidden="false" customHeight="false" outlineLevel="0" collapsed="false">
      <c r="A193" s="3" t="s">
        <v>288</v>
      </c>
      <c r="B193" s="0" t="n">
        <v>15215</v>
      </c>
      <c r="C193" s="0" t="n">
        <v>6588</v>
      </c>
      <c r="D193" s="0" t="n">
        <v>8368</v>
      </c>
      <c r="E193" s="0" t="n">
        <v>259</v>
      </c>
      <c r="F193" s="0" t="n">
        <v>57465.1</v>
      </c>
      <c r="G193" s="0" t="n">
        <v>5706.1</v>
      </c>
      <c r="H193" s="3" t="s">
        <v>90</v>
      </c>
      <c r="I193" s="3" t="s">
        <v>213</v>
      </c>
      <c r="J193" s="3" t="s">
        <v>277</v>
      </c>
    </row>
    <row r="194" customFormat="false" ht="15" hidden="false" customHeight="false" outlineLevel="0" collapsed="false">
      <c r="A194" s="3" t="s">
        <v>289</v>
      </c>
      <c r="B194" s="0" t="n">
        <v>17457</v>
      </c>
      <c r="C194" s="0" t="n">
        <v>6885</v>
      </c>
      <c r="D194" s="0" t="n">
        <v>10300</v>
      </c>
      <c r="E194" s="0" t="n">
        <v>272</v>
      </c>
      <c r="F194" s="0" t="n">
        <v>62479.8</v>
      </c>
      <c r="G194" s="0" t="n">
        <v>6405.3</v>
      </c>
      <c r="H194" s="3" t="s">
        <v>92</v>
      </c>
      <c r="I194" s="3" t="s">
        <v>213</v>
      </c>
      <c r="J194" s="3" t="s">
        <v>277</v>
      </c>
    </row>
    <row r="195" customFormat="false" ht="15" hidden="false" customHeight="false" outlineLevel="0" collapsed="false">
      <c r="A195" s="3" t="s">
        <v>290</v>
      </c>
      <c r="B195" s="0" t="n">
        <v>16348</v>
      </c>
      <c r="C195" s="0" t="n">
        <v>6475</v>
      </c>
      <c r="D195" s="0" t="n">
        <v>9646</v>
      </c>
      <c r="E195" s="0" t="n">
        <v>227</v>
      </c>
      <c r="F195" s="0" t="n">
        <v>57042.3</v>
      </c>
      <c r="G195" s="0" t="n">
        <v>6482.8</v>
      </c>
      <c r="H195" s="3" t="s">
        <v>94</v>
      </c>
      <c r="I195" s="3" t="s">
        <v>213</v>
      </c>
      <c r="J195" s="3" t="s">
        <v>277</v>
      </c>
    </row>
    <row r="196" customFormat="false" ht="15" hidden="false" customHeight="false" outlineLevel="0" collapsed="false">
      <c r="A196" s="3" t="s">
        <v>291</v>
      </c>
      <c r="B196" s="0" t="n">
        <v>13527</v>
      </c>
      <c r="C196" s="0" t="n">
        <v>5281</v>
      </c>
      <c r="D196" s="0" t="n">
        <v>7981</v>
      </c>
      <c r="E196" s="0" t="n">
        <v>265</v>
      </c>
      <c r="F196" s="0" t="n">
        <v>46125.1</v>
      </c>
      <c r="G196" s="0" t="n">
        <v>5748.4</v>
      </c>
      <c r="H196" s="3" t="s">
        <v>96</v>
      </c>
      <c r="I196" s="3" t="s">
        <v>213</v>
      </c>
      <c r="J196" s="3" t="s">
        <v>277</v>
      </c>
    </row>
    <row r="197" customFormat="false" ht="15" hidden="false" customHeight="false" outlineLevel="0" collapsed="false">
      <c r="A197" s="3" t="s">
        <v>292</v>
      </c>
      <c r="B197" s="0" t="n">
        <v>11882</v>
      </c>
      <c r="C197" s="0" t="n">
        <v>4713</v>
      </c>
      <c r="D197" s="0" t="n">
        <v>7010</v>
      </c>
      <c r="E197" s="0" t="n">
        <v>159</v>
      </c>
      <c r="F197" s="0" t="n">
        <v>42346.6</v>
      </c>
      <c r="G197" s="0" t="n">
        <v>4652.7</v>
      </c>
      <c r="H197" s="3" t="s">
        <v>98</v>
      </c>
      <c r="I197" s="3" t="s">
        <v>213</v>
      </c>
      <c r="J197" s="3" t="s">
        <v>277</v>
      </c>
    </row>
    <row r="198" customFormat="false" ht="15" hidden="false" customHeight="false" outlineLevel="0" collapsed="false">
      <c r="A198" s="3" t="s">
        <v>293</v>
      </c>
      <c r="B198" s="0" t="n">
        <v>10859</v>
      </c>
      <c r="C198" s="0" t="n">
        <v>4297</v>
      </c>
      <c r="D198" s="0" t="n">
        <v>6407</v>
      </c>
      <c r="E198" s="0" t="n">
        <v>155</v>
      </c>
      <c r="F198" s="0" t="n">
        <v>37200</v>
      </c>
      <c r="G198" s="0" t="n">
        <v>4414.1</v>
      </c>
      <c r="H198" s="3" t="s">
        <v>100</v>
      </c>
      <c r="I198" s="3" t="s">
        <v>213</v>
      </c>
      <c r="J198" s="3" t="s">
        <v>277</v>
      </c>
    </row>
    <row r="199" customFormat="false" ht="15" hidden="false" customHeight="false" outlineLevel="0" collapsed="false">
      <c r="A199" s="3" t="s">
        <v>294</v>
      </c>
      <c r="B199" s="0" t="n">
        <v>10340</v>
      </c>
      <c r="C199" s="0" t="n">
        <v>4073</v>
      </c>
      <c r="D199" s="0" t="n">
        <v>6101</v>
      </c>
      <c r="E199" s="0" t="n">
        <v>166</v>
      </c>
      <c r="F199" s="0" t="n">
        <v>35191.7</v>
      </c>
      <c r="G199" s="0" t="n">
        <v>3901.5</v>
      </c>
      <c r="H199" s="3" t="s">
        <v>102</v>
      </c>
      <c r="I199" s="3" t="s">
        <v>213</v>
      </c>
      <c r="J199" s="3" t="s">
        <v>277</v>
      </c>
    </row>
    <row r="200" customFormat="false" ht="15" hidden="false" customHeight="false" outlineLevel="0" collapsed="false">
      <c r="A200" s="3" t="s">
        <v>295</v>
      </c>
      <c r="B200" s="0" t="n">
        <v>10137</v>
      </c>
      <c r="C200" s="0" t="n">
        <v>3973</v>
      </c>
      <c r="D200" s="0" t="n">
        <v>5981</v>
      </c>
      <c r="E200" s="0" t="n">
        <v>183</v>
      </c>
      <c r="F200" s="0" t="n">
        <v>34780.5</v>
      </c>
      <c r="G200" s="0" t="n">
        <v>4052.7</v>
      </c>
      <c r="H200" s="3" t="s">
        <v>104</v>
      </c>
      <c r="I200" s="3" t="s">
        <v>213</v>
      </c>
      <c r="J200" s="3" t="s">
        <v>277</v>
      </c>
    </row>
    <row r="201" customFormat="false" ht="15" hidden="false" customHeight="false" outlineLevel="0" collapsed="false">
      <c r="A201" s="3" t="s">
        <v>296</v>
      </c>
      <c r="B201" s="0" t="n">
        <v>9754</v>
      </c>
      <c r="C201" s="0" t="n">
        <v>3862</v>
      </c>
      <c r="D201" s="0" t="n">
        <v>5755</v>
      </c>
      <c r="E201" s="0" t="n">
        <v>137</v>
      </c>
      <c r="F201" s="0" t="n">
        <v>34170.4</v>
      </c>
      <c r="G201" s="0" t="n">
        <v>3209.8</v>
      </c>
      <c r="H201" s="3" t="s">
        <v>106</v>
      </c>
      <c r="I201" s="3" t="s">
        <v>213</v>
      </c>
      <c r="J201" s="3" t="s">
        <v>277</v>
      </c>
    </row>
    <row r="202" customFormat="false" ht="15" hidden="false" customHeight="false" outlineLevel="0" collapsed="false">
      <c r="A202" s="3" t="s">
        <v>297</v>
      </c>
      <c r="B202" s="0" t="n">
        <v>4435</v>
      </c>
      <c r="C202" s="0" t="n">
        <v>3186</v>
      </c>
      <c r="D202" s="0" t="n">
        <v>1109</v>
      </c>
      <c r="E202" s="0" t="n">
        <v>140</v>
      </c>
      <c r="F202" s="0" t="n">
        <v>14363.4</v>
      </c>
      <c r="G202" s="0" t="n">
        <v>2914.7</v>
      </c>
      <c r="H202" s="3" t="s">
        <v>36</v>
      </c>
      <c r="I202" s="3" t="s">
        <v>213</v>
      </c>
      <c r="J202" s="3" t="s">
        <v>298</v>
      </c>
    </row>
    <row r="203" customFormat="false" ht="15" hidden="false" customHeight="false" outlineLevel="0" collapsed="false">
      <c r="A203" s="3" t="s">
        <v>299</v>
      </c>
      <c r="B203" s="0" t="n">
        <v>2642</v>
      </c>
      <c r="C203" s="0" t="n">
        <v>1911</v>
      </c>
      <c r="D203" s="0" t="n">
        <v>660</v>
      </c>
      <c r="E203" s="0" t="n">
        <v>71</v>
      </c>
      <c r="F203" s="0" t="n">
        <v>8540.6</v>
      </c>
      <c r="G203" s="0" t="n">
        <v>1934.2</v>
      </c>
      <c r="H203" s="3" t="s">
        <v>70</v>
      </c>
      <c r="I203" s="3" t="s">
        <v>213</v>
      </c>
      <c r="J203" s="3" t="s">
        <v>298</v>
      </c>
    </row>
    <row r="204" customFormat="false" ht="15" hidden="false" customHeight="false" outlineLevel="0" collapsed="false">
      <c r="A204" s="3" t="s">
        <v>300</v>
      </c>
      <c r="B204" s="0" t="n">
        <v>860</v>
      </c>
      <c r="C204" s="0" t="n">
        <v>622</v>
      </c>
      <c r="D204" s="0" t="n">
        <v>215</v>
      </c>
      <c r="E204" s="0" t="n">
        <v>23</v>
      </c>
      <c r="F204" s="0" t="n">
        <v>2672.1</v>
      </c>
      <c r="G204" s="0" t="n">
        <v>667.7</v>
      </c>
      <c r="H204" s="3" t="s">
        <v>72</v>
      </c>
      <c r="I204" s="3" t="s">
        <v>213</v>
      </c>
      <c r="J204" s="3" t="s">
        <v>298</v>
      </c>
    </row>
    <row r="205" customFormat="false" ht="15" hidden="false" customHeight="false" outlineLevel="0" collapsed="false">
      <c r="A205" s="3" t="s">
        <v>301</v>
      </c>
      <c r="B205" s="0" t="n">
        <v>449</v>
      </c>
      <c r="C205" s="0" t="n">
        <v>323</v>
      </c>
      <c r="D205" s="0" t="n">
        <v>112</v>
      </c>
      <c r="E205" s="0" t="n">
        <v>14</v>
      </c>
      <c r="F205" s="0" t="n">
        <v>1418.8</v>
      </c>
      <c r="G205" s="0" t="n">
        <v>307.9</v>
      </c>
      <c r="H205" s="3" t="s">
        <v>74</v>
      </c>
      <c r="I205" s="3" t="s">
        <v>213</v>
      </c>
      <c r="J205" s="3" t="s">
        <v>298</v>
      </c>
    </row>
    <row r="206" customFormat="false" ht="15" hidden="false" customHeight="false" outlineLevel="0" collapsed="false">
      <c r="A206" s="3" t="s">
        <v>302</v>
      </c>
      <c r="B206" s="0" t="n">
        <v>228</v>
      </c>
      <c r="C206" s="0" t="n">
        <v>165</v>
      </c>
      <c r="D206" s="0" t="n">
        <v>57</v>
      </c>
      <c r="E206" s="0" t="n">
        <v>6</v>
      </c>
      <c r="F206" s="0" t="n">
        <v>720.8</v>
      </c>
      <c r="G206" s="0" t="n">
        <v>133.7</v>
      </c>
      <c r="H206" s="3" t="s">
        <v>76</v>
      </c>
      <c r="I206" s="3" t="s">
        <v>213</v>
      </c>
      <c r="J206" s="3" t="s">
        <v>298</v>
      </c>
    </row>
    <row r="207" customFormat="false" ht="15" hidden="false" customHeight="false" outlineLevel="0" collapsed="false">
      <c r="A207" s="3" t="s">
        <v>303</v>
      </c>
      <c r="B207" s="0" t="n">
        <v>221</v>
      </c>
      <c r="C207" s="0" t="n">
        <v>160</v>
      </c>
      <c r="D207" s="0" t="n">
        <v>55</v>
      </c>
      <c r="E207" s="0" t="n">
        <v>6</v>
      </c>
      <c r="F207" s="0" t="n">
        <v>723.2</v>
      </c>
      <c r="G207" s="0" t="n">
        <v>131.3</v>
      </c>
      <c r="H207" s="3" t="s">
        <v>78</v>
      </c>
      <c r="I207" s="3" t="s">
        <v>213</v>
      </c>
      <c r="J207" s="3" t="s">
        <v>298</v>
      </c>
    </row>
    <row r="208" customFormat="false" ht="15" hidden="false" customHeight="false" outlineLevel="0" collapsed="false">
      <c r="A208" s="3" t="s">
        <v>304</v>
      </c>
      <c r="B208" s="0" t="n">
        <v>226</v>
      </c>
      <c r="C208" s="0" t="n">
        <v>162</v>
      </c>
      <c r="D208" s="0" t="n">
        <v>57</v>
      </c>
      <c r="E208" s="0" t="n">
        <v>7</v>
      </c>
      <c r="F208" s="0" t="n">
        <v>718.5</v>
      </c>
      <c r="G208" s="0" t="n">
        <v>150.1</v>
      </c>
      <c r="H208" s="3" t="s">
        <v>80</v>
      </c>
      <c r="I208" s="3" t="s">
        <v>213</v>
      </c>
      <c r="J208" s="3" t="s">
        <v>298</v>
      </c>
    </row>
    <row r="209" customFormat="false" ht="15" hidden="false" customHeight="false" outlineLevel="0" collapsed="false">
      <c r="A209" s="3" t="s">
        <v>305</v>
      </c>
      <c r="B209" s="0" t="n">
        <v>222</v>
      </c>
      <c r="C209" s="0" t="n">
        <v>160</v>
      </c>
      <c r="D209" s="0" t="n">
        <v>55</v>
      </c>
      <c r="E209" s="0" t="n">
        <v>7</v>
      </c>
      <c r="F209" s="0" t="n">
        <v>717.3</v>
      </c>
      <c r="G209" s="0" t="n">
        <v>139.2</v>
      </c>
      <c r="H209" s="3" t="s">
        <v>82</v>
      </c>
      <c r="I209" s="3" t="s">
        <v>213</v>
      </c>
      <c r="J209" s="3" t="s">
        <v>298</v>
      </c>
    </row>
    <row r="210" customFormat="false" ht="15" hidden="false" customHeight="false" outlineLevel="0" collapsed="false">
      <c r="A210" s="3" t="s">
        <v>306</v>
      </c>
      <c r="B210" s="0" t="n">
        <v>449</v>
      </c>
      <c r="C210" s="0" t="n">
        <v>326</v>
      </c>
      <c r="D210" s="0" t="n">
        <v>112</v>
      </c>
      <c r="E210" s="0" t="n">
        <v>11</v>
      </c>
      <c r="F210" s="0" t="n">
        <v>1434.5</v>
      </c>
      <c r="G210" s="0" t="n">
        <v>320.3</v>
      </c>
      <c r="H210" s="3" t="s">
        <v>84</v>
      </c>
      <c r="I210" s="3" t="s">
        <v>213</v>
      </c>
      <c r="J210" s="3" t="s">
        <v>298</v>
      </c>
    </row>
    <row r="211" customFormat="false" ht="15" hidden="false" customHeight="false" outlineLevel="0" collapsed="false">
      <c r="A211" s="3" t="s">
        <v>307</v>
      </c>
      <c r="B211" s="0" t="n">
        <v>1828</v>
      </c>
      <c r="C211" s="0" t="n">
        <v>1327</v>
      </c>
      <c r="D211" s="0" t="n">
        <v>457</v>
      </c>
      <c r="E211" s="0" t="n">
        <v>44</v>
      </c>
      <c r="F211" s="0" t="n">
        <v>5704.3</v>
      </c>
      <c r="G211" s="0" t="n">
        <v>1072.2</v>
      </c>
      <c r="H211" s="3" t="s">
        <v>86</v>
      </c>
      <c r="I211" s="3" t="s">
        <v>213</v>
      </c>
      <c r="J211" s="3" t="s">
        <v>298</v>
      </c>
    </row>
    <row r="212" customFormat="false" ht="15" hidden="false" customHeight="false" outlineLevel="0" collapsed="false">
      <c r="A212" s="3" t="s">
        <v>308</v>
      </c>
      <c r="B212" s="0" t="n">
        <v>4525</v>
      </c>
      <c r="C212" s="0" t="n">
        <v>3243</v>
      </c>
      <c r="D212" s="0" t="n">
        <v>1131</v>
      </c>
      <c r="E212" s="0" t="n">
        <v>151</v>
      </c>
      <c r="F212" s="0" t="n">
        <v>14199.8</v>
      </c>
      <c r="G212" s="0" t="n">
        <v>3552.9</v>
      </c>
      <c r="H212" s="3" t="s">
        <v>88</v>
      </c>
      <c r="I212" s="3" t="s">
        <v>213</v>
      </c>
      <c r="J212" s="3" t="s">
        <v>298</v>
      </c>
    </row>
    <row r="213" customFormat="false" ht="15" hidden="false" customHeight="false" outlineLevel="0" collapsed="false">
      <c r="A213" s="3" t="s">
        <v>309</v>
      </c>
      <c r="B213" s="0" t="n">
        <v>5937</v>
      </c>
      <c r="C213" s="0" t="n">
        <v>4260</v>
      </c>
      <c r="D213" s="0" t="n">
        <v>1484</v>
      </c>
      <c r="E213" s="0" t="n">
        <v>193</v>
      </c>
      <c r="F213" s="0" t="n">
        <v>18280.8</v>
      </c>
      <c r="G213" s="0" t="n">
        <v>3850.2</v>
      </c>
      <c r="H213" s="3" t="s">
        <v>90</v>
      </c>
      <c r="I213" s="3" t="s">
        <v>213</v>
      </c>
      <c r="J213" s="3" t="s">
        <v>298</v>
      </c>
    </row>
    <row r="214" customFormat="false" ht="15" hidden="false" customHeight="false" outlineLevel="0" collapsed="false">
      <c r="A214" s="3" t="s">
        <v>310</v>
      </c>
      <c r="B214" s="0" t="n">
        <v>6383</v>
      </c>
      <c r="C214" s="0" t="n">
        <v>4327</v>
      </c>
      <c r="D214" s="0" t="n">
        <v>1851</v>
      </c>
      <c r="E214" s="0" t="n">
        <v>205</v>
      </c>
      <c r="F214" s="0" t="n">
        <v>18487.8</v>
      </c>
      <c r="G214" s="0" t="n">
        <v>4115.3</v>
      </c>
      <c r="H214" s="3" t="s">
        <v>92</v>
      </c>
      <c r="I214" s="3" t="s">
        <v>213</v>
      </c>
      <c r="J214" s="3" t="s">
        <v>298</v>
      </c>
    </row>
    <row r="215" customFormat="false" ht="15" hidden="false" customHeight="false" outlineLevel="0" collapsed="false">
      <c r="A215" s="3" t="s">
        <v>311</v>
      </c>
      <c r="B215" s="0" t="n">
        <v>2621</v>
      </c>
      <c r="C215" s="0" t="n">
        <v>1785</v>
      </c>
      <c r="D215" s="0" t="n">
        <v>760</v>
      </c>
      <c r="E215" s="0" t="n">
        <v>76</v>
      </c>
      <c r="F215" s="0" t="n">
        <v>7812.5</v>
      </c>
      <c r="G215" s="0" t="n">
        <v>1861</v>
      </c>
      <c r="H215" s="3" t="s">
        <v>94</v>
      </c>
      <c r="I215" s="3" t="s">
        <v>213</v>
      </c>
      <c r="J215" s="3" t="s">
        <v>298</v>
      </c>
    </row>
    <row r="216" customFormat="false" ht="15" hidden="false" customHeight="false" outlineLevel="0" collapsed="false">
      <c r="A216" s="3" t="s">
        <v>312</v>
      </c>
      <c r="B216" s="0" t="n">
        <v>864</v>
      </c>
      <c r="C216" s="0" t="n">
        <v>585</v>
      </c>
      <c r="D216" s="0" t="n">
        <v>251</v>
      </c>
      <c r="E216" s="0" t="n">
        <v>28</v>
      </c>
      <c r="F216" s="0" t="n">
        <v>2540.3</v>
      </c>
      <c r="G216" s="0" t="n">
        <v>536.9</v>
      </c>
      <c r="H216" s="3" t="s">
        <v>96</v>
      </c>
      <c r="I216" s="3" t="s">
        <v>213</v>
      </c>
      <c r="J216" s="3" t="s">
        <v>298</v>
      </c>
    </row>
    <row r="217" customFormat="false" ht="15" hidden="false" customHeight="false" outlineLevel="0" collapsed="false">
      <c r="A217" s="3" t="s">
        <v>313</v>
      </c>
      <c r="B217" s="0" t="n">
        <v>447</v>
      </c>
      <c r="C217" s="0" t="n">
        <v>303</v>
      </c>
      <c r="D217" s="0" t="n">
        <v>130</v>
      </c>
      <c r="E217" s="0" t="n">
        <v>14</v>
      </c>
      <c r="F217" s="0" t="n">
        <v>1308.8</v>
      </c>
      <c r="G217" s="0" t="n">
        <v>279.4</v>
      </c>
      <c r="H217" s="3" t="s">
        <v>98</v>
      </c>
      <c r="I217" s="3" t="s">
        <v>213</v>
      </c>
      <c r="J217" s="3" t="s">
        <v>298</v>
      </c>
    </row>
    <row r="218" customFormat="false" ht="15" hidden="false" customHeight="false" outlineLevel="0" collapsed="false">
      <c r="A218" s="3" t="s">
        <v>314</v>
      </c>
      <c r="B218" s="0" t="n">
        <v>220</v>
      </c>
      <c r="C218" s="0" t="n">
        <v>151</v>
      </c>
      <c r="D218" s="0" t="n">
        <v>64</v>
      </c>
      <c r="E218" s="0" t="n">
        <v>5</v>
      </c>
      <c r="F218" s="0" t="n">
        <v>645.7</v>
      </c>
      <c r="G218" s="0" t="n">
        <v>164.2</v>
      </c>
      <c r="H218" s="3" t="s">
        <v>100</v>
      </c>
      <c r="I218" s="3" t="s">
        <v>213</v>
      </c>
      <c r="J218" s="3" t="s">
        <v>298</v>
      </c>
    </row>
    <row r="219" customFormat="false" ht="15" hidden="false" customHeight="false" outlineLevel="0" collapsed="false">
      <c r="A219" s="3" t="s">
        <v>315</v>
      </c>
      <c r="B219" s="0" t="n">
        <v>227</v>
      </c>
      <c r="C219" s="0" t="n">
        <v>153</v>
      </c>
      <c r="D219" s="0" t="n">
        <v>66</v>
      </c>
      <c r="E219" s="0" t="n">
        <v>8</v>
      </c>
      <c r="F219" s="0" t="n">
        <v>657.9</v>
      </c>
      <c r="G219" s="0" t="n">
        <v>163.8</v>
      </c>
      <c r="H219" s="3" t="s">
        <v>102</v>
      </c>
      <c r="I219" s="3" t="s">
        <v>213</v>
      </c>
      <c r="J219" s="3" t="s">
        <v>298</v>
      </c>
    </row>
    <row r="220" customFormat="false" ht="15" hidden="false" customHeight="false" outlineLevel="0" collapsed="false">
      <c r="A220" s="3" t="s">
        <v>316</v>
      </c>
      <c r="B220" s="0" t="n">
        <v>227</v>
      </c>
      <c r="C220" s="0" t="n">
        <v>154</v>
      </c>
      <c r="D220" s="0" t="n">
        <v>66</v>
      </c>
      <c r="E220" s="0" t="n">
        <v>7</v>
      </c>
      <c r="F220" s="0" t="n">
        <v>671</v>
      </c>
      <c r="G220" s="0" t="n">
        <v>157.1</v>
      </c>
      <c r="H220" s="3" t="s">
        <v>104</v>
      </c>
      <c r="I220" s="3" t="s">
        <v>213</v>
      </c>
      <c r="J220" s="3" t="s">
        <v>298</v>
      </c>
    </row>
    <row r="221" customFormat="false" ht="15" hidden="false" customHeight="false" outlineLevel="0" collapsed="false">
      <c r="A221" s="3" t="s">
        <v>317</v>
      </c>
      <c r="B221" s="0" t="n">
        <v>228</v>
      </c>
      <c r="C221" s="0" t="n">
        <v>156</v>
      </c>
      <c r="D221" s="0" t="n">
        <v>66</v>
      </c>
      <c r="E221" s="0" t="n">
        <v>6</v>
      </c>
      <c r="F221" s="0" t="n">
        <v>688.5</v>
      </c>
      <c r="G221" s="0" t="n">
        <v>150.2</v>
      </c>
      <c r="H221" s="3" t="s">
        <v>106</v>
      </c>
      <c r="I221" s="3" t="s">
        <v>213</v>
      </c>
      <c r="J221" s="3" t="s">
        <v>298</v>
      </c>
    </row>
    <row r="222" customFormat="false" ht="15" hidden="false" customHeight="false" outlineLevel="0" collapsed="false">
      <c r="A222" s="3" t="s">
        <v>318</v>
      </c>
      <c r="B222" s="0" t="n">
        <v>8877</v>
      </c>
      <c r="C222" s="0" t="n">
        <v>5959</v>
      </c>
      <c r="D222" s="0" t="n">
        <v>2663</v>
      </c>
      <c r="E222" s="0" t="n">
        <v>255</v>
      </c>
      <c r="F222" s="0" t="n">
        <v>37902.3</v>
      </c>
      <c r="G222" s="0" t="n">
        <v>5117.6</v>
      </c>
      <c r="H222" s="3" t="s">
        <v>36</v>
      </c>
      <c r="I222" s="3" t="s">
        <v>213</v>
      </c>
      <c r="J222" s="3" t="s">
        <v>319</v>
      </c>
    </row>
    <row r="223" customFormat="false" ht="15" hidden="false" customHeight="false" outlineLevel="0" collapsed="false">
      <c r="A223" s="3" t="s">
        <v>320</v>
      </c>
      <c r="B223" s="0" t="n">
        <v>9057</v>
      </c>
      <c r="C223" s="0" t="n">
        <v>6106</v>
      </c>
      <c r="D223" s="0" t="n">
        <v>2717</v>
      </c>
      <c r="E223" s="0" t="n">
        <v>234</v>
      </c>
      <c r="F223" s="0" t="n">
        <v>39895.5</v>
      </c>
      <c r="G223" s="0" t="n">
        <v>5545.1</v>
      </c>
      <c r="H223" s="3" t="s">
        <v>70</v>
      </c>
      <c r="I223" s="3" t="s">
        <v>213</v>
      </c>
      <c r="J223" s="3" t="s">
        <v>319</v>
      </c>
    </row>
    <row r="224" customFormat="false" ht="15" hidden="false" customHeight="false" outlineLevel="0" collapsed="false">
      <c r="A224" s="3" t="s">
        <v>321</v>
      </c>
      <c r="B224" s="0" t="n">
        <v>9069</v>
      </c>
      <c r="C224" s="0" t="n">
        <v>6129</v>
      </c>
      <c r="D224" s="0" t="n">
        <v>2721</v>
      </c>
      <c r="E224" s="0" t="n">
        <v>219</v>
      </c>
      <c r="F224" s="0" t="n">
        <v>38142.1</v>
      </c>
      <c r="G224" s="0" t="n">
        <v>6303.1</v>
      </c>
      <c r="H224" s="3" t="s">
        <v>72</v>
      </c>
      <c r="I224" s="3" t="s">
        <v>213</v>
      </c>
      <c r="J224" s="3" t="s">
        <v>319</v>
      </c>
    </row>
    <row r="225" customFormat="false" ht="15" hidden="false" customHeight="false" outlineLevel="0" collapsed="false">
      <c r="A225" s="3" t="s">
        <v>322</v>
      </c>
      <c r="B225" s="0" t="n">
        <v>8810</v>
      </c>
      <c r="C225" s="0" t="n">
        <v>5954</v>
      </c>
      <c r="D225" s="0" t="n">
        <v>2643</v>
      </c>
      <c r="E225" s="0" t="n">
        <v>213</v>
      </c>
      <c r="F225" s="0" t="n">
        <v>37962.6</v>
      </c>
      <c r="G225" s="0" t="n">
        <v>6227.6</v>
      </c>
      <c r="H225" s="3" t="s">
        <v>74</v>
      </c>
      <c r="I225" s="3" t="s">
        <v>213</v>
      </c>
      <c r="J225" s="3" t="s">
        <v>319</v>
      </c>
    </row>
    <row r="226" customFormat="false" ht="15" hidden="false" customHeight="false" outlineLevel="0" collapsed="false">
      <c r="A226" s="3" t="s">
        <v>323</v>
      </c>
      <c r="B226" s="0" t="n">
        <v>9498</v>
      </c>
      <c r="C226" s="0" t="n">
        <v>6363</v>
      </c>
      <c r="D226" s="0" t="n">
        <v>2849</v>
      </c>
      <c r="E226" s="0" t="n">
        <v>286</v>
      </c>
      <c r="F226" s="0" t="n">
        <v>40757.3</v>
      </c>
      <c r="G226" s="0" t="n">
        <v>6062.1</v>
      </c>
      <c r="H226" s="3" t="s">
        <v>76</v>
      </c>
      <c r="I226" s="3" t="s">
        <v>213</v>
      </c>
      <c r="J226" s="3" t="s">
        <v>319</v>
      </c>
    </row>
    <row r="227" customFormat="false" ht="15" hidden="false" customHeight="false" outlineLevel="0" collapsed="false">
      <c r="A227" s="3" t="s">
        <v>324</v>
      </c>
      <c r="B227" s="0" t="n">
        <v>9510</v>
      </c>
      <c r="C227" s="0" t="n">
        <v>6353</v>
      </c>
      <c r="D227" s="0" t="n">
        <v>2853</v>
      </c>
      <c r="E227" s="0" t="n">
        <v>304</v>
      </c>
      <c r="F227" s="0" t="n">
        <v>40918.1</v>
      </c>
      <c r="G227" s="0" t="n">
        <v>6217.5</v>
      </c>
      <c r="H227" s="3" t="s">
        <v>78</v>
      </c>
      <c r="I227" s="3" t="s">
        <v>213</v>
      </c>
      <c r="J227" s="3" t="s">
        <v>319</v>
      </c>
    </row>
    <row r="228" customFormat="false" ht="15" hidden="false" customHeight="false" outlineLevel="0" collapsed="false">
      <c r="A228" s="3" t="s">
        <v>325</v>
      </c>
      <c r="B228" s="0" t="n">
        <v>9128</v>
      </c>
      <c r="C228" s="0" t="n">
        <v>6135</v>
      </c>
      <c r="D228" s="0" t="n">
        <v>2738</v>
      </c>
      <c r="E228" s="0" t="n">
        <v>255</v>
      </c>
      <c r="F228" s="0" t="n">
        <v>39585.5</v>
      </c>
      <c r="G228" s="0" t="n">
        <v>6398.4</v>
      </c>
      <c r="H228" s="3" t="s">
        <v>80</v>
      </c>
      <c r="I228" s="3" t="s">
        <v>213</v>
      </c>
      <c r="J228" s="3" t="s">
        <v>319</v>
      </c>
    </row>
    <row r="229" customFormat="false" ht="15" hidden="false" customHeight="false" outlineLevel="0" collapsed="false">
      <c r="A229" s="3" t="s">
        <v>326</v>
      </c>
      <c r="B229" s="0" t="n">
        <v>8931</v>
      </c>
      <c r="C229" s="0" t="n">
        <v>5968</v>
      </c>
      <c r="D229" s="0" t="n">
        <v>2679</v>
      </c>
      <c r="E229" s="0" t="n">
        <v>284</v>
      </c>
      <c r="F229" s="0" t="n">
        <v>37862.8</v>
      </c>
      <c r="G229" s="0" t="n">
        <v>5028.2</v>
      </c>
      <c r="H229" s="3" t="s">
        <v>82</v>
      </c>
      <c r="I229" s="3" t="s">
        <v>213</v>
      </c>
      <c r="J229" s="3" t="s">
        <v>319</v>
      </c>
    </row>
    <row r="230" customFormat="false" ht="15" hidden="false" customHeight="false" outlineLevel="0" collapsed="false">
      <c r="A230" s="3" t="s">
        <v>327</v>
      </c>
      <c r="B230" s="0" t="n">
        <v>9435</v>
      </c>
      <c r="C230" s="0" t="n">
        <v>6331</v>
      </c>
      <c r="D230" s="0" t="n">
        <v>2831</v>
      </c>
      <c r="E230" s="0" t="n">
        <v>273</v>
      </c>
      <c r="F230" s="0" t="n">
        <v>41320.3</v>
      </c>
      <c r="G230" s="0" t="n">
        <v>6671.6</v>
      </c>
      <c r="H230" s="3" t="s">
        <v>84</v>
      </c>
      <c r="I230" s="3" t="s">
        <v>213</v>
      </c>
      <c r="J230" s="3" t="s">
        <v>319</v>
      </c>
    </row>
    <row r="231" customFormat="false" ht="15" hidden="false" customHeight="false" outlineLevel="0" collapsed="false">
      <c r="A231" s="3" t="s">
        <v>328</v>
      </c>
      <c r="B231" s="0" t="n">
        <v>9090</v>
      </c>
      <c r="C231" s="0" t="n">
        <v>6099</v>
      </c>
      <c r="D231" s="0" t="n">
        <v>2727</v>
      </c>
      <c r="E231" s="0" t="n">
        <v>264</v>
      </c>
      <c r="F231" s="0" t="n">
        <v>39214.1</v>
      </c>
      <c r="G231" s="0" t="n">
        <v>5439.5</v>
      </c>
      <c r="H231" s="3" t="s">
        <v>86</v>
      </c>
      <c r="I231" s="3" t="s">
        <v>213</v>
      </c>
      <c r="J231" s="3" t="s">
        <v>319</v>
      </c>
    </row>
    <row r="232" customFormat="false" ht="15" hidden="false" customHeight="false" outlineLevel="0" collapsed="false">
      <c r="A232" s="3" t="s">
        <v>329</v>
      </c>
      <c r="B232" s="0" t="n">
        <v>8899</v>
      </c>
      <c r="C232" s="0" t="n">
        <v>5948</v>
      </c>
      <c r="D232" s="0" t="n">
        <v>2670</v>
      </c>
      <c r="E232" s="0" t="n">
        <v>281</v>
      </c>
      <c r="F232" s="0" t="n">
        <v>38045.2</v>
      </c>
      <c r="G232" s="0" t="n">
        <v>4780.5</v>
      </c>
      <c r="H232" s="3" t="s">
        <v>88</v>
      </c>
      <c r="I232" s="3" t="s">
        <v>213</v>
      </c>
      <c r="J232" s="3" t="s">
        <v>319</v>
      </c>
    </row>
    <row r="233" customFormat="false" ht="15" hidden="false" customHeight="false" outlineLevel="0" collapsed="false">
      <c r="A233" s="3" t="s">
        <v>330</v>
      </c>
      <c r="B233" s="0" t="n">
        <v>9363</v>
      </c>
      <c r="C233" s="0" t="n">
        <v>6256</v>
      </c>
      <c r="D233" s="0" t="n">
        <v>2809</v>
      </c>
      <c r="E233" s="0" t="n">
        <v>298</v>
      </c>
      <c r="F233" s="0" t="n">
        <v>40315.1</v>
      </c>
      <c r="G233" s="0" t="n">
        <v>5392.7</v>
      </c>
      <c r="H233" s="3" t="s">
        <v>90</v>
      </c>
      <c r="I233" s="3" t="s">
        <v>213</v>
      </c>
      <c r="J233" s="3" t="s">
        <v>319</v>
      </c>
    </row>
    <row r="234" customFormat="false" ht="15" hidden="false" customHeight="false" outlineLevel="0" collapsed="false">
      <c r="A234" s="3" t="s">
        <v>331</v>
      </c>
      <c r="B234" s="0" t="n">
        <v>9612</v>
      </c>
      <c r="C234" s="0" t="n">
        <v>6084</v>
      </c>
      <c r="D234" s="0" t="n">
        <v>3268</v>
      </c>
      <c r="E234" s="0" t="n">
        <v>260</v>
      </c>
      <c r="F234" s="0" t="n">
        <v>38386.2</v>
      </c>
      <c r="G234" s="0" t="n">
        <v>5941</v>
      </c>
      <c r="H234" s="3" t="s">
        <v>92</v>
      </c>
      <c r="I234" s="3" t="s">
        <v>213</v>
      </c>
      <c r="J234" s="3" t="s">
        <v>319</v>
      </c>
    </row>
    <row r="235" customFormat="false" ht="15" hidden="false" customHeight="false" outlineLevel="0" collapsed="false">
      <c r="A235" s="3" t="s">
        <v>332</v>
      </c>
      <c r="B235" s="0" t="n">
        <v>9315</v>
      </c>
      <c r="C235" s="0" t="n">
        <v>5870</v>
      </c>
      <c r="D235" s="0" t="n">
        <v>3167</v>
      </c>
      <c r="E235" s="0" t="n">
        <v>278</v>
      </c>
      <c r="F235" s="0" t="n">
        <v>36800.3</v>
      </c>
      <c r="G235" s="0" t="n">
        <v>5207.9</v>
      </c>
      <c r="H235" s="3" t="s">
        <v>94</v>
      </c>
      <c r="I235" s="3" t="s">
        <v>213</v>
      </c>
      <c r="J235" s="3" t="s">
        <v>319</v>
      </c>
    </row>
    <row r="236" customFormat="false" ht="15" hidden="false" customHeight="false" outlineLevel="0" collapsed="false">
      <c r="A236" s="3" t="s">
        <v>333</v>
      </c>
      <c r="B236" s="0" t="n">
        <v>9712</v>
      </c>
      <c r="C236" s="0" t="n">
        <v>6142</v>
      </c>
      <c r="D236" s="0" t="n">
        <v>3302</v>
      </c>
      <c r="E236" s="0" t="n">
        <v>268</v>
      </c>
      <c r="F236" s="0" t="n">
        <v>40346.9</v>
      </c>
      <c r="G236" s="0" t="n">
        <v>5916.5</v>
      </c>
      <c r="H236" s="3" t="s">
        <v>96</v>
      </c>
      <c r="I236" s="3" t="s">
        <v>213</v>
      </c>
      <c r="J236" s="3" t="s">
        <v>319</v>
      </c>
    </row>
    <row r="237" customFormat="false" ht="15" hidden="false" customHeight="false" outlineLevel="0" collapsed="false">
      <c r="A237" s="3" t="s">
        <v>334</v>
      </c>
      <c r="B237" s="0" t="n">
        <v>9471</v>
      </c>
      <c r="C237" s="0" t="n">
        <v>6009</v>
      </c>
      <c r="D237" s="0" t="n">
        <v>3220</v>
      </c>
      <c r="E237" s="0" t="n">
        <v>242</v>
      </c>
      <c r="F237" s="0" t="n">
        <v>37332.6</v>
      </c>
      <c r="G237" s="0" t="n">
        <v>5553.9</v>
      </c>
      <c r="H237" s="3" t="s">
        <v>98</v>
      </c>
      <c r="I237" s="3" t="s">
        <v>213</v>
      </c>
      <c r="J237" s="3" t="s">
        <v>319</v>
      </c>
    </row>
    <row r="238" customFormat="false" ht="15" hidden="false" customHeight="false" outlineLevel="0" collapsed="false">
      <c r="A238" s="3" t="s">
        <v>335</v>
      </c>
      <c r="B238" s="0" t="n">
        <v>9439</v>
      </c>
      <c r="C238" s="0" t="n">
        <v>6013</v>
      </c>
      <c r="D238" s="0" t="n">
        <v>3209</v>
      </c>
      <c r="E238" s="0" t="n">
        <v>217</v>
      </c>
      <c r="F238" s="0" t="n">
        <v>39126.5</v>
      </c>
      <c r="G238" s="0" t="n">
        <v>5673.3</v>
      </c>
      <c r="H238" s="3" t="s">
        <v>100</v>
      </c>
      <c r="I238" s="3" t="s">
        <v>213</v>
      </c>
      <c r="J238" s="3" t="s">
        <v>319</v>
      </c>
    </row>
    <row r="239" customFormat="false" ht="15" hidden="false" customHeight="false" outlineLevel="0" collapsed="false">
      <c r="A239" s="3" t="s">
        <v>336</v>
      </c>
      <c r="B239" s="0" t="n">
        <v>9389</v>
      </c>
      <c r="C239" s="0" t="n">
        <v>5913</v>
      </c>
      <c r="D239" s="0" t="n">
        <v>3192</v>
      </c>
      <c r="E239" s="0" t="n">
        <v>284</v>
      </c>
      <c r="F239" s="0" t="n">
        <v>37439.8</v>
      </c>
      <c r="G239" s="0" t="n">
        <v>5711.5</v>
      </c>
      <c r="H239" s="3" t="s">
        <v>102</v>
      </c>
      <c r="I239" s="3" t="s">
        <v>213</v>
      </c>
      <c r="J239" s="3" t="s">
        <v>319</v>
      </c>
    </row>
    <row r="240" customFormat="false" ht="15" hidden="false" customHeight="false" outlineLevel="0" collapsed="false">
      <c r="A240" s="3" t="s">
        <v>337</v>
      </c>
      <c r="B240" s="0" t="n">
        <v>9203</v>
      </c>
      <c r="C240" s="0" t="n">
        <v>5877</v>
      </c>
      <c r="D240" s="0" t="n">
        <v>3129</v>
      </c>
      <c r="E240" s="0" t="n">
        <v>197</v>
      </c>
      <c r="F240" s="0" t="n">
        <v>38023.5</v>
      </c>
      <c r="G240" s="0" t="n">
        <v>5117.4</v>
      </c>
      <c r="H240" s="3" t="s">
        <v>104</v>
      </c>
      <c r="I240" s="3" t="s">
        <v>213</v>
      </c>
      <c r="J240" s="3" t="s">
        <v>319</v>
      </c>
    </row>
    <row r="241" customFormat="false" ht="15" hidden="false" customHeight="false" outlineLevel="0" collapsed="false">
      <c r="A241" s="3" t="s">
        <v>338</v>
      </c>
      <c r="B241" s="0" t="n">
        <v>9519</v>
      </c>
      <c r="C241" s="0" t="n">
        <v>6030</v>
      </c>
      <c r="D241" s="0" t="n">
        <v>3236</v>
      </c>
      <c r="E241" s="0" t="n">
        <v>253</v>
      </c>
      <c r="F241" s="0" t="n">
        <v>38982.6</v>
      </c>
      <c r="G241" s="0" t="n">
        <v>5109.7</v>
      </c>
      <c r="H241" s="3" t="s">
        <v>106</v>
      </c>
      <c r="I241" s="3" t="s">
        <v>213</v>
      </c>
      <c r="J241" s="3" t="s">
        <v>319</v>
      </c>
    </row>
  </sheetData>
  <autoFilter ref="A1:J24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2026-09-28T03:54:01Z</dcterms:created>
  <dc:creator>openpyxl</dc:creator>
  <dc:description/>
  <dc:language>en-US</dc:language>
  <cp:lastModifiedBy/>
  <dcterms:modified xsi:type="dcterms:W3CDTF">2026-09-28T03:54:01Z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